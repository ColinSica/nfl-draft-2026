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in\nfl-draft-predictor\data\"/>
    </mc:Choice>
  </mc:AlternateContent>
  <xr:revisionPtr revIDLastSave="0" documentId="13_ncr:1_{B74F8320-CED6-4395-9313-D8C960368DB0}" xr6:coauthVersionLast="47" xr6:coauthVersionMax="47" xr10:uidLastSave="{00000000-0000-0000-0000-000000000000}"/>
  <bookViews>
    <workbookView xWindow="-110" yWindow="-110" windowWidth="19420" windowHeight="11500" activeTab="2" xr2:uid="{7BDAACB6-9FBC-400E-9C51-5F72478D0EC3}"/>
  </bookViews>
  <sheets>
    <sheet name="Sheet1" sheetId="1" r:id="rId1"/>
    <sheet name="Trades" sheetId="3" r:id="rId2"/>
    <sheet name="Reasoning" sheetId="4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3" l="1"/>
  <c r="B31" i="3"/>
  <c r="B30" i="3"/>
  <c r="B29" i="3"/>
  <c r="B28" i="3"/>
  <c r="B27" i="3"/>
</calcChain>
</file>

<file path=xl/sharedStrings.xml><?xml version="1.0" encoding="utf-8"?>
<sst xmlns="http://schemas.openxmlformats.org/spreadsheetml/2006/main" count="940" uniqueCount="702">
  <si>
    <t>Credibility Rank</t>
  </si>
  <si>
    <t>Analyst (Outlet)</t>
  </si>
  <si>
    <t>Pick #</t>
  </si>
  <si>
    <t>Team</t>
  </si>
  <si>
    <t>Las Vegas Raiders</t>
  </si>
  <si>
    <t>New York Jets</t>
  </si>
  <si>
    <t>Arizona Cardinals</t>
  </si>
  <si>
    <t>Tennessee Titans</t>
  </si>
  <si>
    <t>New York Giants</t>
  </si>
  <si>
    <t>Cleveland Browns</t>
  </si>
  <si>
    <t>Washington Commanders</t>
  </si>
  <si>
    <t>New Orleans Saints</t>
  </si>
  <si>
    <t>Kansas City Chiefs</t>
  </si>
  <si>
    <t>Cincinnati Bengals</t>
  </si>
  <si>
    <t>Miami Dolphins</t>
  </si>
  <si>
    <t>Dallas Cowboys</t>
  </si>
  <si>
    <t>Los Angeles Rams</t>
  </si>
  <si>
    <t>Baltimore Ravens</t>
  </si>
  <si>
    <t>Tampa Bay Buccaneers</t>
  </si>
  <si>
    <t>New York Jets (via IND)</t>
  </si>
  <si>
    <t>Detroit Lions</t>
  </si>
  <si>
    <t>Minnesota Vikings</t>
  </si>
  <si>
    <t>Carolina Panthers</t>
  </si>
  <si>
    <t>Pittsburgh Steelers</t>
  </si>
  <si>
    <t>Los Angeles Chargers</t>
  </si>
  <si>
    <t>Philadelphia Eagles</t>
  </si>
  <si>
    <t>Chicago Bears</t>
  </si>
  <si>
    <t>Buffalo Bills</t>
  </si>
  <si>
    <t>San Francisco 49ers</t>
  </si>
  <si>
    <t>Houston Texans</t>
  </si>
  <si>
    <t>New England Patriots</t>
  </si>
  <si>
    <t>Seattle Seahawks</t>
  </si>
  <si>
    <t>YES</t>
  </si>
  <si>
    <t>Date →</t>
  </si>
  <si>
    <t>—</t>
  </si>
  <si>
    <t>Los Angeles Rams (via ATL)</t>
  </si>
  <si>
    <t>Miller (OT)</t>
  </si>
  <si>
    <t>Dallas Cowboys (via GB)</t>
  </si>
  <si>
    <t>Cleveland Browns (via JAX)</t>
  </si>
  <si>
    <t>Kansas City Chiefs (via LAR)</t>
  </si>
  <si>
    <t>Miami Dolphins (via DEN)</t>
  </si>
  <si>
    <t>In Consensus?</t>
  </si>
  <si>
    <t>Blake Miller (OT)</t>
  </si>
  <si>
    <t>#</t>
  </si>
  <si>
    <t>Pick</t>
  </si>
  <si>
    <t>Team Trading UP</t>
  </si>
  <si>
    <t>Team Trading DOWN</t>
  </si>
  <si>
    <t>Target Player</t>
  </si>
  <si>
    <t>#6 CLE</t>
  </si>
  <si>
    <t>#17 DET</t>
  </si>
  <si>
    <t>#22 LAC</t>
  </si>
  <si>
    <t>#25 CHI</t>
  </si>
  <si>
    <t>#26 BUF</t>
  </si>
  <si>
    <t>#12 DAL</t>
  </si>
  <si>
    <t>#3 ARI</t>
  </si>
  <si>
    <t>#7 WAS</t>
  </si>
  <si>
    <t>#8 NO</t>
  </si>
  <si>
    <t>#9 KC</t>
  </si>
  <si>
    <t>#11 MIA</t>
  </si>
  <si>
    <t>Atlanta Falcons</t>
  </si>
  <si>
    <t>#13 LAR</t>
  </si>
  <si>
    <t>#15 TB</t>
  </si>
  <si>
    <t>#19 CAR</t>
  </si>
  <si>
    <t>#27 SF</t>
  </si>
  <si>
    <t>#28 HOU</t>
  </si>
  <si>
    <t>Green Bay Packers</t>
  </si>
  <si>
    <t>#31 NE</t>
  </si>
  <si>
    <t>#5 NYG</t>
  </si>
  <si>
    <t>#2 NYJ</t>
  </si>
  <si>
    <t>#16 NYJ via IND</t>
  </si>
  <si>
    <t>Sauce Gardner-era deal</t>
  </si>
  <si>
    <t>Pre-existing</t>
  </si>
  <si>
    <t>#20 DAL via GB</t>
  </si>
  <si>
    <t>Micah Parsons deal</t>
  </si>
  <si>
    <t>#24 CLE via JAX</t>
  </si>
  <si>
    <t>Trevor Lawrence-era deal</t>
  </si>
  <si>
    <t>#29 KC via LAR</t>
  </si>
  <si>
    <t>Prior deal</t>
  </si>
  <si>
    <t>#30 MIA via DEN</t>
  </si>
  <si>
    <t>Mock Date &amp; Time (ET)</t>
  </si>
  <si>
    <t>Why this ranking / Post-trade note</t>
  </si>
  <si>
    <t>Mel Kiper Jr. — ESPN (UPDATED post-trade)</t>
  </si>
  <si>
    <t>4/18/26 ~10 PM ET</t>
  </si>
  <si>
    <t>40+ year veteran; updated his Final Mock Saturday night WITHIN HOURS of the trade. Most plugged-in late-Saturday reaction in media. Tier-1.</t>
  </si>
  <si>
    <t>Gary Davenport — Bleacher Report (Post-Trade Mock)</t>
  </si>
  <si>
    <t>4/19/26 AM ET</t>
  </si>
  <si>
    <t>Full 32-pick reaction mock. B/R NFL Scouting Dept big board backs his picks. First full Round-1 reset in the post-trade world.</t>
  </si>
  <si>
    <t>Jacob Infante — Pro Football Network (7-round)</t>
  </si>
  <si>
    <t>4/19/26 8:45 AM ET</t>
  </si>
  <si>
    <t>PFN lead draft analyst; 7-round rebuild with Giants' 2 top-10 picks. Uses PFSN simulator + scouting metrics.</t>
  </si>
  <si>
    <t>Ed Valentine — Big Blue View / Yahoo Sports (7-round)</t>
  </si>
  <si>
    <t>4/19/26 3:00 AM PT</t>
  </si>
  <si>
    <t>Giants beat writer — rebuilt entire mock Saturday night to reflect trade. Includes a creative Giants-Bears trade-DOWN scenario from #10.</t>
  </si>
  <si>
    <t>#1 Kiper (ESPN) UPDATED</t>
  </si>
  <si>
    <t>#2 Davenport (B/R)</t>
  </si>
  <si>
    <t>#3 Infante (PFN)</t>
  </si>
  <si>
    <t>#4 Valentine (BBV)</t>
  </si>
  <si>
    <t>4/18 ~10 PM ET</t>
  </si>
  <si>
    <t>4/19 AM ET</t>
  </si>
  <si>
    <t>4/19 8:45 AM ET</t>
  </si>
  <si>
    <t>4/19 3:00 AM PT</t>
  </si>
  <si>
    <t>Mendoza (QB)</t>
  </si>
  <si>
    <t>Bailey (EDGE)</t>
  </si>
  <si>
    <t>Reese (EDGE)</t>
  </si>
  <si>
    <t>Mauigoa (OT)</t>
  </si>
  <si>
    <t>Love (RB)</t>
  </si>
  <si>
    <t>Downs (S)</t>
  </si>
  <si>
    <t>Tate (WR)</t>
  </si>
  <si>
    <t>Styles (LB)</t>
  </si>
  <si>
    <t>Styles (LB) or trade-down</t>
  </si>
  <si>
    <t>Proctor (OT)</t>
  </si>
  <si>
    <t>Bain Jr. (EDGE)</t>
  </si>
  <si>
    <t>Tyson (WR)</t>
  </si>
  <si>
    <t>Delane (CB)</t>
  </si>
  <si>
    <t>New York Giants (via CIN)</t>
  </si>
  <si>
    <t>TRADE DOWN → CHI</t>
  </si>
  <si>
    <t>Fano (OT)</t>
  </si>
  <si>
    <t>McCoy (CB)</t>
  </si>
  <si>
    <t>Lemon (WR)</t>
  </si>
  <si>
    <t>Sadiq (TE)</t>
  </si>
  <si>
    <t>Ioane (IOL)</t>
  </si>
  <si>
    <t>Mesidor (EDGE)</t>
  </si>
  <si>
    <t>Cooper Jr. (WR)</t>
  </si>
  <si>
    <t>Freeling (OT)</t>
  </si>
  <si>
    <t>Thieneman (S)</t>
  </si>
  <si>
    <t>McNeil-Warren (S)</t>
  </si>
  <si>
    <t>Faulk (DL)</t>
  </si>
  <si>
    <t>Woods (DL)</t>
  </si>
  <si>
    <t>Parker (EDGE)</t>
  </si>
  <si>
    <t>Lomu (OT)</t>
  </si>
  <si>
    <t>McCoy (CB) or Faulk (DL)</t>
  </si>
  <si>
    <t>Concepcion (WR)</t>
  </si>
  <si>
    <t>Young (DL)</t>
  </si>
  <si>
    <t>Terrell (CB)</t>
  </si>
  <si>
    <t>Iheanachor (OT)</t>
  </si>
  <si>
    <t>Christen Miller (DL)</t>
  </si>
  <si>
    <t>Hood (CB)</t>
  </si>
  <si>
    <t>Howell (EDGE)</t>
  </si>
  <si>
    <t>Simpson (QB)</t>
  </si>
  <si>
    <t>Malachi Lawrence (EDGE)</t>
  </si>
  <si>
    <t>Price (RB)</t>
  </si>
  <si>
    <t>SECTION A — THE REAL TRADE (EXECUTED 4/18/26)</t>
  </si>
  <si>
    <t>Trade</t>
  </si>
  <si>
    <t>Team Getting Pick</t>
  </si>
  <si>
    <t>Team Getting Player</t>
  </si>
  <si>
    <t>Asset Sent</t>
  </si>
  <si>
    <t>Asset Received</t>
  </si>
  <si>
    <t>Announced</t>
  </si>
  <si>
    <t>Context / Sources</t>
  </si>
  <si>
    <t>R1</t>
  </si>
  <si>
    <t>Dexter Lawrence II (DT) → CIN</t>
  </si>
  <si>
    <t>NYG sends: DT Dexter Lawrence II (28, 3x Pro Bowl 2022-24)</t>
  </si>
  <si>
    <t>NYG gets: 2026 1st round pick #10 overall (STRAIGHT UP). CIN also gave Lawrence a 1-yr $28M extension through 2028.</t>
  </si>
  <si>
    <t>4/18/26 9:18 PM ET</t>
  </si>
  <si>
    <t>Lawrence requested trade 4/6; talks stalled 4/14. NFL Network (Rapoport/Garafolo) broke the news; ESPN (Schefter) confirmed. FIRST time CIN has traded a top-10 pick for a player since the 1966 common draft era.</t>
  </si>
  <si>
    <t>SECTION B — TRADES MOCKED BY POST-TRADE ANALYSTS (4 mocks reviewed)</t>
  </si>
  <si>
    <t>Pick Moving</t>
  </si>
  <si>
    <t>Mocked By</t>
  </si>
  <si>
    <t>Compensation</t>
  </si>
  <si>
    <t>Rationale</t>
  </si>
  <si>
    <t>#10 NYG (via CIN)</t>
  </si>
  <si>
    <t>Picks 10 + 105 to NYG? — see note</t>
  </si>
  <si>
    <t>Valentine (BBV/Yahoo) 4/19</t>
  </si>
  <si>
    <t>NYG gets: picks 25, 57, 60, and a 2027 2nd. CHI sends: picks 10 + 105.</t>
  </si>
  <si>
    <t>Valentine's creative move: NYG already grabbed Styles (LB) at #5. Trading #10 nearly DOUBLES NYG's top-100 capital (2→5 picks) and lets NYG draft Kayden McDonald (DT, OSU) at 25 to replace Lawrence. CHI gets Caleb Downs at #10 — a dream safety fit for Dennis Allen's defense.</t>
  </si>
  <si>
    <t>Cleveland #6 — possible trade-DOWN</t>
  </si>
  <si>
    <t>TBD (market)</t>
  </si>
  <si>
    <t>(varies)</t>
  </si>
  <si>
    <t>Davenport B/R mentions scenario</t>
  </si>
  <si>
    <t>CLE would collect picks to drop to ~#10-12 range</t>
  </si>
  <si>
    <t>Davenport explicitly flags: with Tate off the board at #5 (NYG), CLE's two most-mocked scenarios now both lean toward a trade-BACK. Pre-trade the DAL→CLE #6-for-#12 trade was the most-mocked deal in April (6 analysts). With NYG taking Tate, this trade is less target-driven now.</t>
  </si>
  <si>
    <t>#5 NYG — STATUS QUO</t>
  </si>
  <si>
    <t>(none)</t>
  </si>
  <si>
    <t>Giants stay at #5</t>
  </si>
  <si>
    <t>Kiper, Davenport, Infante (3 of 4)</t>
  </si>
  <si>
    <t>N/A — Giants keep pick</t>
  </si>
  <si>
    <t>Most analysts think NYG uses #5 on its own top target (Downs/Styles/Tate) rather than trading down, because the trade return would not beat the player on the board.</t>
  </si>
  <si>
    <t>#10 NYG (via CIN) — STATUS QUO</t>
  </si>
  <si>
    <t>Giants stay at #10</t>
  </si>
  <si>
    <t>3 of 4 post-trade mocks have NYG USE #10 themselves (for Downs or Mauigoa), not trade it. Valentine is the lone dissent with the trade-down.</t>
  </si>
  <si>
    <t>N/A — no new trades mocked yet</t>
  </si>
  <si>
    <t>Because the Lawrence deal happened &lt;24 hours ago, analysts have not yet mocked secondary cascading trades (e.g., other teams jumping up for Bain, Delane, Downs now that CIN is out). Expect those to appear 4/20-4/22 as more mocks publish.</t>
  </si>
  <si>
    <t>SECTION C — PRE-EXISTING PICK OWNERSHIP (unchanged by Lawrence trade)</t>
  </si>
  <si>
    <t>Now Owned By</t>
  </si>
  <si>
    <t>Original Owner</t>
  </si>
  <si>
    <t>Trade Origin</t>
  </si>
  <si>
    <t>Note</t>
  </si>
  <si>
    <t>P1</t>
  </si>
  <si>
    <t>#10</t>
  </si>
  <si>
    <t>Cincinnati Bengals → TRADED AWAY</t>
  </si>
  <si>
    <t>ORIGINAL SLOT (from CIN 5-11 season)</t>
  </si>
  <si>
    <t>STATUS: Now owned by Giants as of 4/18. CIN has NO Rd1 pick.</t>
  </si>
  <si>
    <t>P2</t>
  </si>
  <si>
    <t>#13</t>
  </si>
  <si>
    <t>Matt Stafford / Kirk Cousins-era deal</t>
  </si>
  <si>
    <t>P3</t>
  </si>
  <si>
    <t>#16</t>
  </si>
  <si>
    <t>Indianapolis Colts</t>
  </si>
  <si>
    <t>P4</t>
  </si>
  <si>
    <t>#20</t>
  </si>
  <si>
    <t>P5</t>
  </si>
  <si>
    <t>#24</t>
  </si>
  <si>
    <t>Jacksonville Jaguars</t>
  </si>
  <si>
    <t>P6</t>
  </si>
  <si>
    <t>#29</t>
  </si>
  <si>
    <t>P7</t>
  </si>
  <si>
    <t>#30</t>
  </si>
  <si>
    <t>Denver Broncos</t>
  </si>
  <si>
    <t>Jalen Ramsey / Chubb-era deal</t>
  </si>
  <si>
    <t>Post-trade mocks analyzed:</t>
  </si>
  <si>
    <t># of mocks with Giants trading DOWN from #10:</t>
  </si>
  <si>
    <t>SECTION 1 — TEAM PROFILES (32 teams, in draft order)</t>
  </si>
  <si>
    <t>Pick(s)</t>
  </si>
  <si>
    <t>Top Needs (ranked)</t>
  </si>
  <si>
    <t>Scheme / Coach Tendency</t>
  </si>
  <si>
    <t>Cap / Roster Context</t>
  </si>
  <si>
    <t>Likely Round-1 Targets</t>
  </si>
  <si>
    <t>Draft Behavior (trade up / stay / down)</t>
  </si>
  <si>
    <t>WILDCARD (what could surprise)</t>
  </si>
  <si>
    <t>#1</t>
  </si>
  <si>
    <t>1. QB (franchise) 2. OL depth 3. EDGE rotation 4. CB2</t>
  </si>
  <si>
    <t>HC Pete Carroll era; pro-style offense. Tom Brady (minority owner) reportedly drove Mendoza-infatuation during IU's CFP title run.</t>
  </si>
  <si>
    <t>Cap space mid-pack. Geno Smith is bridge ONLY. No long-term QB answer on roster. Davante Adams re-traded or aging. Weak OL.</t>
  </si>
  <si>
    <t>Fernando Mendoza (QB, Indiana) — UNANIMOUS. No credible alternative projected. Possible Ty Simpson trade-down fallback only if Mendoza unavailable (won't happen).</t>
  </si>
  <si>
    <t>STAY — pick is locked. Zero chance of trade. Raiders could extend Mendoza's timetable but #1 is a gift.</t>
  </si>
  <si>
    <t>If for any reason Mendoza slips (medical red flag), best alternative is Mauigoa (OT) or a trade DOWN with QB-needy team (NYJ would leap)</t>
  </si>
  <si>
    <t>#2</t>
  </si>
  <si>
    <t>1. EDGE1 opposite Jermaine Johnson 2. WR1 if Garrett Wilson won't re-up 3. C/G 4. Safety</t>
  </si>
  <si>
    <t>HC Aaron Glenn (former DC); 3-4 hybrid defense. Wants LONG, athletic EDGE prototypes. Offense under Tanner Engstrand — balanced, play-action heavy.</t>
  </si>
  <si>
    <t>Paid QB; Wilson on 5th-year. Aging OL. EDGE rotation thin after Johnson. Haason Reddick departure still felt.</t>
  </si>
  <si>
    <t>Arvell Reese (EDGE, OSU) — 3 of 4 post-trade mocks. Kiper only one on David Bailey (TT). Both fit Glenn's length-and-bend prototype.</t>
  </si>
  <si>
    <t>STAY. Also owns #16 (via IND) — could use that pick as trade-up currency elsewhere.</t>
  </si>
  <si>
    <t>Jets could shock with Carnell Tate (WR) if they believe Wilson leaves. McShay pre-trade had NYJ trading UP to #7 for Tate — trade-up for WR still in play at #16.</t>
  </si>
  <si>
    <t>#3</t>
  </si>
  <si>
    <t>1. EDGE / pass rush 2. OT (Paris Johnson kick to LT?) 3. CB2 4. Interior DL</t>
  </si>
  <si>
    <t>HC Jonathan Gannon — Fangio disciple, 3-4 hybrid defense, nickel-heavy, two-high safeties. Offense pro-style under OC Drew Petzing.</t>
  </si>
  <si>
    <t>Kyler on huge deal — must protect him. Budda Baker back end. Weak pass rush (~30th in pressure rate 2025).</t>
  </si>
  <si>
    <t>EDGE (Bailey or Reese, whichever falls) = 3 of 4 mocks. Valentine has Mauigoa (OT) at #3. ARI needs pass-rush desperately.</t>
  </si>
  <si>
    <t>MOST LIKELY TRADE-DOWN TEAM in top 5. Multiple pre-trade mocks had ARI sliding back. With CIN gone from #10, ARI has fewer trade partners behind them.</t>
  </si>
  <si>
    <t>Could stun with Downs (S) if they fall in love with him; Gannon loves versatile DBs. Or trade down to #7-10 range with a QB team.</t>
  </si>
  <si>
    <t>#4</t>
  </si>
  <si>
    <t>#5</t>
  </si>
  <si>
    <t>#6</t>
  </si>
  <si>
    <t>1. QB of the future 2. WR1 3. OL (T/G) 4. LB</t>
  </si>
  <si>
    <t>HC Kevin Stefanski (Shanahan-tree WCO). DC Jim Schwartz — aggressive 4-3, wide-9. Hates soft coverage.</t>
  </si>
  <si>
    <t>Deshaun Watson contract dead-weight. Post-Cooper/Njoku WR room thin. Myles Garrett cornerstone. Two 1sts (#6, #24 via JAX).</t>
  </si>
  <si>
    <t>Sonny Styles (LB) if stays at #6 — Kiper's alt. Kadyn Proctor (OT) — Davenport. BUT Davenport explicitly flags CLE as likely TRADE-BACK candidate now that Tate is gone at 5.</t>
  </si>
  <si>
    <t>TRADE DOWN is the smart move — they were the #1 trade-back target in April (pre-trade). Lawrence trade DIDN'T change that — Andrew Berry loves picks.</t>
  </si>
  <si>
    <t>Shock: CLE takes QB (Drew Allar from Penn State?) in panic Watson move. More likely: trade back to ~#12-14, grab WR (Tate/Lemon) OR OT.</t>
  </si>
  <si>
    <t>#7</t>
  </si>
  <si>
    <t>1. WR opposite Terry McLaurin 2. LB 3. EDGE depth 4. CB2</t>
  </si>
  <si>
    <t>HC Dan Quinn (4-3, cover-3 / single-high safety). OC Kliff Kingsbury — Daniels system, RPO-heavy, play action.</t>
  </si>
  <si>
    <t>Jayden Daniels franchise QB. Paid Bobby Wagner. Paid Zach Ertz. FA spend on OL last year. Core is young but need WR2.</t>
  </si>
  <si>
    <t>Carnell Tate (WR) or Sonny Styles (LB). Kiper has Tate; Davenport has Styles.</t>
  </si>
  <si>
    <t>STAY — Quinn/Peters like their board; no indication of trade activity.</t>
  </si>
  <si>
    <t>Shock: Jeremiyah Love (RB) if he falls; Quinn loves physical runners (see Bijan in ATL). Or Downs (S) if Giants pass twice.</t>
  </si>
  <si>
    <t>#8</t>
  </si>
  <si>
    <t>#9</t>
  </si>
  <si>
    <t>1. WR1 (post-Rice drama) 2. EDGE opposite Karlaftis 3. CB 4. OT future</t>
  </si>
  <si>
    <t>HC Andy Reid — WCO variant, RPO-heavy, tempo and motion. DC Steve Spagnuolo — exotic blitzes, amoeba fronts, loves inside-outside disruptors on DL.</t>
  </si>
  <si>
    <t>Mahomes prime. Hunt re-signed. Rice off-field uncertainty. Chris Jones paid. Two 1sts (#9 and #29 via LAR).</t>
  </si>
  <si>
    <t>Jordyn Tyson (WR) — Kiper; Mansoor Delane (CB, LSU) — Davenport. Both fit. KC has leverage with two 1sts.</t>
  </si>
  <si>
    <t>AGGRESSIVE — Veach publicly said they'll trade for "the few players we love." Could TRADE UP for Bain Jr. or Reese.</t>
  </si>
  <si>
    <t>Shock: Rueben Bain Jr. (EDGE) — Spagnuolo prototype, fell from top-8. Or trade UP to #6-7 with Cleveland/Washington.</t>
  </si>
  <si>
    <t>#11</t>
  </si>
  <si>
    <t>1. OT (Tua protection) 2. EDGE opposite Chubb/Phillips 3. WR3 4. LB</t>
  </si>
  <si>
    <t>HC Mike McDaniel — Shanahan wide zone. DC Anthony Weaver — 3-4, stunts and twists, aggressive.</t>
  </si>
  <si>
    <t>Tua contract. Hill/Waddle still there. OL a mess for 3 straight yrs. Two 1sts (#11, #30 via DEN).</t>
  </si>
  <si>
    <t>Spencer Fano (OT, Utah) — Kiper AND Davenport agree. Strong consensus at this spot.</t>
  </si>
  <si>
    <t>STAY at #11; #30 may be trade chip.</t>
  </si>
  <si>
    <t>Shock: Ty Simpson (QB) at #30 as Tua insurance — pre-trade mocks had ARI trading up for Simpson here.</t>
  </si>
  <si>
    <t>#12</t>
  </si>
  <si>
    <t>1. LB (post-Parsons trade to GB) 2. DL interior 3. CB 4. WR</t>
  </si>
  <si>
    <t>HC Brian Schottenheimer (2026 hire — Jerry's OC bump-up). DC Matt Eberflus hired from Bears firing — Tampa-2 influence, wide-9 fronts.</t>
  </si>
  <si>
    <t>Jerry traded Parsons to GB last yr for #20 + picks. Quinnen Williams traded IN last yr (Dallas gave up 1st+2nd from NYJ). Dak contract. CeeDee Lamb paid. Two 1sts (#12, #20 via GB).</t>
  </si>
  <si>
    <t>Kadyn Proctor (OT) — Kiper. Jermod McCoy (CB, Tennessee) — Davenport. No consensus.</t>
  </si>
  <si>
    <t>MODERATELY AGGRESSIVE. Pre-trade DAL was the #1 trade-UP mocked team (CLE→#6 for Styles, 6 analysts). Post-Lawrence that's less mocked but Jerry still loves splash.</t>
  </si>
  <si>
    <t>Shock: Styles (LB) if he falls to #12 (only possible if CLE doesn't take him). Post-Parsons LB replacement is critical.</t>
  </si>
  <si>
    <t>#14</t>
  </si>
  <si>
    <t>1. DT (post-Michael Pierce) 2. CB2 3. OT future 4. TE future</t>
  </si>
  <si>
    <t>HC Harbaugh gone to NYG — NEW HC hired (TBD as of 4/19 — could affect pick). DC Zach Orr. Scheme: base 3-4, fire-zone blitzes, complex coverages.</t>
  </si>
  <si>
    <t>Lamar paid. Henry aging. Hendrickson signed (ex-CIN!). OL aging. Pick 14 sets tone for new coach.</t>
  </si>
  <si>
    <t>Kenyon Sadiq (TE, Oregon) — Kiper; Olaivavega Ioane (IOL, PSU) — Davenport. Pure BPA board.</t>
  </si>
  <si>
    <t>STAY. Eric DeCosta stays patient, lets board come.</t>
  </si>
  <si>
    <t>Shock: Safety (Downs if he falls) — Ravens love cover safeties. Or DT — Orr wants replace Pierce.</t>
  </si>
  <si>
    <t>#15</t>
  </si>
  <si>
    <t>1. EDGE (post-Shaq Barrett) 2. iDL 3. OG/C 4. LB</t>
  </si>
  <si>
    <t>HC Todd Bowles — 3-4 amoeba, blitz-happy. OC Josh Grizzard (promoted). Offense under Baker Mayfield.</t>
  </si>
  <si>
    <t>Baker re-upped. Evans aging. Mike Evans heir needed. Pick value high.</t>
  </si>
  <si>
    <t>Akheem Mesidor (EDGE, Miami) — Kiper AND Davenport. Strong consensus.</t>
  </si>
  <si>
    <t>STAY.</t>
  </si>
  <si>
    <t>Shock: Keldric Faulk (DL, Auburn) if he slides — Bowles loves big, versatile DL.</t>
  </si>
  <si>
    <t>1. WR1 (Wilson hedge) 2. OT 3. C 4. CB2</t>
  </si>
  <si>
    <t>Same Jets profile as #2. Glenn wants WR depth for Rodgers-era offense.</t>
  </si>
  <si>
    <t>Second first from Gardner-Colts deal. Jets used #2 on EDGE, now use #16 on offense.</t>
  </si>
  <si>
    <t>Omar Cooper Jr. (WR, Indiana) — Kiper; Francis Mauigoa (OT) — Davenport. Pure offensive skill or protection.</t>
  </si>
  <si>
    <t>POSSIBLE TRADE UP — McShay pre-trade had NYJ jumping from #16 to #7 for Tate. Trade still on table.</t>
  </si>
  <si>
    <t>Shock: TE Sadiq or RB if board goes weird. Or trade UP with #16 to land Tate at ~#7.</t>
  </si>
  <si>
    <t>#17</t>
  </si>
  <si>
    <t>1. OT (Decker aging) 2. CB1 3. EDGE depth 4. iDL</t>
  </si>
  <si>
    <t>HC Dan Campbell — aggressive, 4th-down heavy. OC Ben Johnson departed year ago; now John Morton. DC Aaron Glenn left for NYJ last yr — now Kelvin Sheppard.</t>
  </si>
  <si>
    <t>Goff paid; ASB paid; Gibbs paid. Aging OL tackles. Tackling issues in secondary.</t>
  </si>
  <si>
    <t>Monroe Freeling (OT, Georgia) — Kiper AND Davenport. Strong consensus.</t>
  </si>
  <si>
    <t>Brad Holmes occasionally trades — but usually stays. At #17 likely stays.</t>
  </si>
  <si>
    <t>Shock: Fano (OT, Utah) if he falls to #17. Or Mesidor (EDGE).</t>
  </si>
  <si>
    <t>#18</t>
  </si>
  <si>
    <t>1. S (Harrison Smith retired) 2. iDL 3. CB 4. C</t>
  </si>
  <si>
    <t>HC Kevin O'Connell — McVay tree WCO. DC Brian Flores — Miami-style amoeba, blitz 40%+ of snaps.</t>
  </si>
  <si>
    <t>J.J. McCarthy QB. Jefferson paid. Hockenson paid. Flores defense NEEDS safety playmaker.</t>
  </si>
  <si>
    <t>Dillon Thieneman (S, Oregon) — Kiper AND Davenport. Consensus — Flores safety fit.</t>
  </si>
  <si>
    <t>STAY. Kwesi Adofo-Mensah stays patient.</t>
  </si>
  <si>
    <t>Shock: iDL (Peter Woods?) — Flores scheme gives interior DL huge value.</t>
  </si>
  <si>
    <t>#19</t>
  </si>
  <si>
    <t>1. WR1 for Bryce Young 2. OT 3. LB 4. CB2</t>
  </si>
  <si>
    <t>HC Dave Canales (2nd yr). OC Brad Idzik. DC Ejiro Evero — Fangio 3-4 shell.</t>
  </si>
  <si>
    <t>Bryce Young year 3. Diontae Johnson (if still there). OL invested big FA. Young must develop.</t>
  </si>
  <si>
    <t>Emmanuel McNeil-Warren (S) — Kiper; Kenyon Sadiq (TE) — Davenport. Split.</t>
  </si>
  <si>
    <t>STAY. Panthers rebuilding, no trade flexibility.</t>
  </si>
  <si>
    <t>Shock: Tate (WR) if he falls — Young weapons priority. Or OT (Lomu) if tackles run.</t>
  </si>
  <si>
    <t>1. 2nd 1st-rounder — BPA 2. WR opposite Lamb 3. DL iDL 4. CB2</t>
  </si>
  <si>
    <t>Same DAL profile.</t>
  </si>
  <si>
    <t>From Parsons trade. Dallas has TWO 1sts.</t>
  </si>
  <si>
    <t>Concepcion (WR) or Boston (WR) — Kiper; Keldric Faulk (DL) — Davenport. Value pick.</t>
  </si>
  <si>
    <t>Could trade OUT of #20 or trade UP combining #12+#20. Jerry loves splash.</t>
  </si>
  <si>
    <t>Shock: QB Ty Simpson if Dak injury history spooks them. Or Dak succession pick.</t>
  </si>
  <si>
    <t>#21</t>
  </si>
  <si>
    <t>#22</t>
  </si>
  <si>
    <t>1. WR weapons for Herbert 2. EDGE opposite Bosa 3. OL (G) 4. S</t>
  </si>
  <si>
    <t>HC Jim Harbaugh — smash-mouth run, play-action heavy. DC Jesse Minter (with Harbaugh since Michigan). 3-4 base, aggressive.</t>
  </si>
  <si>
    <t>Herbert paid. Bosa health. Gus Edwards RB. Need playmakers.</t>
  </si>
  <si>
    <t>Peter Woods (DL) — Kiper; T.J. Parker (EDGE) — Davenport. Harbaugh LOVES DL.</t>
  </si>
  <si>
    <t>STAY. Harbaugh's 1st round last year (Alt). Patient.</t>
  </si>
  <si>
    <t>Shock: RB if Harbaugh goes power-run — or Caleb Lomu (OT) — Harbaugh-Michigan pipeline continues.</t>
  </si>
  <si>
    <t>#23</t>
  </si>
  <si>
    <t>1. LB (Nakobe Dean aging / moved on?) 2. OT depth 3. CB2 4. iDL future</t>
  </si>
  <si>
    <t>HC Nick Sirianni. DC Vic Fangio — two-high safeties, light boxes, patient zone.</t>
  </si>
  <si>
    <t>Jalen Hurts paid. Saquon paid. Jason Kelce succession (Cam Jurgens). Howie Roseman master drafter.</t>
  </si>
  <si>
    <t>Blake Miller (OT) — Kiper; Caleb Lomu (OT) — Davenport. Consensus OT pick.</t>
  </si>
  <si>
    <t>Roseman TRADES CONSTANTLY — could move up OR back. Watch this pick.</t>
  </si>
  <si>
    <t>Shock: Roseman trades UP from #23 for Mesidor or Faulk. Or trades down into Day 2 for extra capital.</t>
  </si>
  <si>
    <t>1. See #6 profile — 2nd 1st, flexibility 2. WR 3. LB/iDL 4. OL</t>
  </si>
  <si>
    <t>Same CLE profile.</t>
  </si>
  <si>
    <t>Pick from Trevor Lawrence-era JAX deal. CLE has #6 and #24 — massive draft capital.</t>
  </si>
  <si>
    <t>Jermod McCoy (CB) or Keldric Faulk (DL) — Kiper; KC Concepcion (WR) — Davenport.</t>
  </si>
  <si>
    <t>Likely USE this pick after possible trade-back from #6. Or combine to trade UP for QB.</t>
  </si>
  <si>
    <t>Shock: If #6 becomes QB pick (Allar?), this is BPA on defense. Or trade up to QB range.</t>
  </si>
  <si>
    <t>#25</t>
  </si>
  <si>
    <t>1. EDGE opposite Montez Sweat 2. iDL 3. OT (Darnell Wright counterpart) 4. S</t>
  </si>
  <si>
    <t>HC Ben Johnson (ex-DET OC, 2026 hire). DC Dennis Allen (ex-Saints HC, 2026 hire — Vic Fangio tree). 3-4 shell, two-high.</t>
  </si>
  <si>
    <t>Caleb Williams year 3. Paid DJ Moore. Keenan Allen gone. Montez Sweat paid.</t>
  </si>
  <si>
    <t>Zion Young (DL) — Kiper; Emmanuel McNeil-Warren (S) — Davenport. Valentine MOCK HAS CHI TRADING UP to #10 with Giants for Caleb Downs (S).</t>
  </si>
  <si>
    <t>AGGRESSIVE — Ryan Poles has capital + 2 Rd2 picks. Ben Johnson / Allen 1st-yr teams love to splash.</t>
  </si>
  <si>
    <t>Shock: TRADE UP for Downs (S) as Valentine mocks — perfect Dennis Allen safety. Or trade up for EDGE Faulk.</t>
  </si>
  <si>
    <t>#26</t>
  </si>
  <si>
    <t>1. WR1 (Shakir emerging but need more) 2. CB (post-Tre'Davious) 3. iDL 4. EDGE depth</t>
  </si>
  <si>
    <t>HC Sean McDermott. OC Joe Brady — McDermott-mesh offense. DC Bobby Babich (promoted). Cover-1/cover-2, sim-pressure heavy.</t>
  </si>
  <si>
    <t>Josh Allen paid. Traded Diggs. James Cook RB paid. Oliver iDL paid.</t>
  </si>
  <si>
    <t>Keldric Faulk (DL) — Kiper; Avieon Terrell (CB) — Davenport.</t>
  </si>
  <si>
    <t>STAY — Beane patient, won't overpay to move up.</t>
  </si>
  <si>
    <t>Shock: WR if Cooper Jr. or Concepcion falls to #26 — Beane admitted WR is a need.</t>
  </si>
  <si>
    <t>#27</t>
  </si>
  <si>
    <t>1. OL (T or G) 2. CB2 3. iDL (Arik Armstead?) 4. LB</t>
  </si>
  <si>
    <t>HC Kyle Shanahan — wide zone, elite play-action. DC Nick Sorensen — Fangio 3-4 with heavy two-high.</t>
  </si>
  <si>
    <t>Purdy paid. Bosa paid. CMC aging. OL gap after Trent Williams succession.</t>
  </si>
  <si>
    <t>Max Iheanachor (OT) — Kiper; Omar Cooper Jr. (WR) — Davenport.</t>
  </si>
  <si>
    <t>STAY. Lynch/Shanahan patient with 1st-rounders.</t>
  </si>
  <si>
    <t>Shock: Caleb Lomu (OT) if falls — prototype Shanahan LT.</t>
  </si>
  <si>
    <t>#28</t>
  </si>
  <si>
    <t>1. See #9 — 2nd 1st for KC, BPA 2. OT 3. CB 4. RB</t>
  </si>
  <si>
    <t>Same KC profile. SB contenders, can take best player.</t>
  </si>
  <si>
    <t>From Stafford-era Rams trade.</t>
  </si>
  <si>
    <t>Colton Hood (CB, Tennessee) — Kiper; Cashius Howell (EDGE) — Davenport.</t>
  </si>
  <si>
    <t>VERY AGGRESSIVE — KC combines #9+#29 to trade UP if they love a player. Veach publicly admitted it.</t>
  </si>
  <si>
    <t>Shock: Trade UP combining picks to ~#15-17 for Fano or Sadiq. Or WR if WR1 not taken at #9.</t>
  </si>
  <si>
    <t>1. See #11 — 2nd 1st 2. QB future (Tua injury history) 3. iDL 4. S</t>
  </si>
  <si>
    <t>Same MIA profile.</t>
  </si>
  <si>
    <t>From Chubb-era Broncos deal.</t>
  </si>
  <si>
    <t>Ty Simpson (QB, Alabama) — Kiper (!); Peter Woods (DL) — Davenport.</t>
  </si>
  <si>
    <t>If Kiper right, this is a SHOCK QB pick as Tua insurance. Pre-trade ARI was trading UP here for Simpson.</t>
  </si>
  <si>
    <t>Shock: ARI trades UP for Simpson (pre-trade most-mocked end-of-Rd1 move).</t>
  </si>
  <si>
    <t>#31</t>
  </si>
  <si>
    <t>1. OL (T/G) protect Maye 2. WR1 3. CB 4. EDGE</t>
  </si>
  <si>
    <t>HC Mike Vrabel (2026 hire). DC Vrabel-run. OC Alex Van Pelt (from CLE) — Shanahan-Stefanski tree.</t>
  </si>
  <si>
    <t>Drake Maye year 2. Huge cap space (spent on FA OL: Will Fries?). Aggressive Vrabel era.</t>
  </si>
  <si>
    <t>Akheem Mesidor (EDGE) — Kiper; Malachi Lawrence (EDGE) — Davenport. Consensus EDGE.</t>
  </si>
  <si>
    <t>STAY — Wolf building patient. Vrabel wants tough, scheme-versatile players.</t>
  </si>
  <si>
    <t>Shock: OT Caleb Lomu — protect Maye = priority.</t>
  </si>
  <si>
    <t>#32</t>
  </si>
  <si>
    <t>1. iDL (interior d-line overhaul) 2. OL G/C 3. LB 4. CB2</t>
  </si>
  <si>
    <t>HC Mike Macdonald — Ravens-tree 3-4, multi-front, heavy 2-high. DC Aden Durde.</t>
  </si>
  <si>
    <t>Geno Smith or rookie QB? DK Metcalf paid. JSN paid. Need run defense fix.</t>
  </si>
  <si>
    <t>Jadarian Price (RB) — Kiper; Colton Hood (CB) — Davenport.</t>
  </si>
  <si>
    <t>Shock: iDL (Kayden McDonald, OSU) — Macdonald loves Ravens-style DL.</t>
  </si>
  <si>
    <t>Cincinnati Bengals (NO RD1 PICK)</t>
  </si>
  <si>
    <t>1. LB (post-Logan Wilson?) 2. CB2 3. OT 4. iDL depth</t>
  </si>
  <si>
    <t>HC Zac Taylor. OC Dan Pitcher. DC Al Golden (hired after firing Lou Anarumo). Base 4-3, quarters-heavy.</t>
  </si>
  <si>
    <t>Joe Burrow paid. Chase + Higgins paid. Hendrickson GONE to BAL. Mafe + J. Allen + Lawrence signed. $$ all over defense.</t>
  </si>
  <si>
    <t>NO RD 1 PICK (sent to NYG in Lawrence trade). First CIN pick is Round 2.</t>
  </si>
  <si>
    <t>N/A — no 1st rounder. Next pick is Rd 2 (~#41-#42 range).</t>
  </si>
  <si>
    <t>Bengals telegraphing WIN-NOW mode. Burrow window prioritized. Long-term LB/CB/OT depth will hurt by 2027.</t>
  </si>
  <si>
    <t>#2 Davenport (B/R) — 4/19</t>
  </si>
  <si>
    <t>#3 Infante (PFN) — 4/19</t>
  </si>
  <si>
    <t>#4 Valentine (BBV) — 4/19</t>
  </si>
  <si>
    <t>SYNTHESIS (what to predict)</t>
  </si>
  <si>
    <t>#1 LV</t>
  </si>
  <si>
    <t>Infante: BAILEY.</t>
  </si>
  <si>
    <t>#4 TEN</t>
  </si>
  <si>
    <t>#14 BAL</t>
  </si>
  <si>
    <t>Kiper: FREELING (Georgia) — Decker succession.</t>
  </si>
  <si>
    <t>#18 MIN</t>
  </si>
  <si>
    <t>Davenport: SADIQ (TE) — Young weapon.</t>
  </si>
  <si>
    <t>Kiper: CONCEPCION or BOSTON (WR).</t>
  </si>
  <si>
    <t>#21 PIT</t>
  </si>
  <si>
    <t>#23 PHI</t>
  </si>
  <si>
    <t>Kiper: BLAKE MILLER (OT, Clemson).</t>
  </si>
  <si>
    <t>Davenport: LOMU (OT, Utah).</t>
  </si>
  <si>
    <t>Kiper: McCOY (CB) or FAULK (DL).</t>
  </si>
  <si>
    <t>Davenport: CONCEPCION (WR).</t>
  </si>
  <si>
    <t>Davenport: McNEIL-WARREN (S).</t>
  </si>
  <si>
    <t>Kiper: FAULK (DL).</t>
  </si>
  <si>
    <t>Davenport: TERRELL (CB, Clemson).</t>
  </si>
  <si>
    <t>Kiper: CHRISTEN MILLER (DL, Georgia).</t>
  </si>
  <si>
    <t>Davenport: IHEANACHOR (OT).</t>
  </si>
  <si>
    <t>Davenport: HOWELL (EDGE, Texas A&amp;M).</t>
  </si>
  <si>
    <t>Kiper: TY SIMPSON (QB, Alabama) — Tua insurance!</t>
  </si>
  <si>
    <t>Davenport: WOODS (DL).</t>
  </si>
  <si>
    <t>Kiper: MESIDOR (EDGE).</t>
  </si>
  <si>
    <t>#32 SEA</t>
  </si>
  <si>
    <t>Davenport: HOOD (CB).</t>
  </si>
  <si>
    <t>2026 NFL Draft — First Round Mock Draft Roundup (POST-TRADE, Dexter Lawrence → CIN for #10, trade announced 4/18/26 9:18 PM ET) — REFRESHED 4/19/26 8:41 PM PT</t>
  </si>
  <si>
    <t>Only mocks published AFTER the Lawrence trade (4/18/26 9:18 PM ET) are included. Pre-trade mocks excluded — Giants now own picks #5 AND #10; Bengals have NO Round 1 pick. LEGEND: "(via CIN)" = acquired in Lawrence trade. Consensus (col J) = all 5 credible post-trade mocks. KEY NEWS RIPPLES (4/19): (1) TITANS HC is Robert Saleh (hired 1/22/26, defensive-minded 3-4) NOT Callahan (fired 10/13/25) — shifts TEN #4 away from RB; (2) Will Anderson Jr. signed 3-yr/$150M ext with HOU on 4/17 — HOU no longer needs EDGE; (3) Saints QB is Tyler Shough (2025 ROY finalist) — Carr retired, NO QB need; (4) Giants gain ~$13M cap from trade — likely DJ Reader DT signing looms.</t>
  </si>
  <si>
    <t>Luke Easterling — Athlon Sports / Yahoo Sports</t>
  </si>
  <si>
    <t>4/18/26 ~9:28 PM ET (immediately post-trade)</t>
  </si>
  <si>
    <t>Veteran draft analyst; published FULL 32-pick mock within ~10 minutes of the trade being announced. Fastest reaction mock in the industry. Tier-1.</t>
  </si>
  <si>
    <t>MOCK DRAFT COMPARISON — FIRST ROUND (POST-TRADE, 5 credible mocks)</t>
  </si>
  <si>
    <t>#5 Easterling (Athlon/Yahoo)</t>
  </si>
  <si>
    <t>CONSENSUS (all 5)</t>
  </si>
  <si>
    <t>4/18 9:28 PM ET</t>
  </si>
  <si>
    <t>Mendoza (QB) — UNANIMOUS 5-0</t>
  </si>
  <si>
    <t>Reese (EDGE) 4-1 over Bailey</t>
  </si>
  <si>
    <t>SPLIT: EDGE 3, OT 1, RB 1 — ARI trade-down still most-likely scenario</t>
  </si>
  <si>
    <t>Tennessee Titans (Saleh HC)</t>
  </si>
  <si>
    <t>Love (RB) 4-1 — but Saleh (defensive-minded HC) = Bailey EDGE real threat</t>
  </si>
  <si>
    <t>Styles (LB) 3-1-1 — POST-TRADE PREFERENCE (Harbaugh spine)</t>
  </si>
  <si>
    <t>OT (Fano/Proctor) now most-mocked; trade-back still lurking</t>
  </si>
  <si>
    <t>3-way split: WR Tate / LB Styles / CB Delane</t>
  </si>
  <si>
    <t>New Orleans Saints (Shough QB)</t>
  </si>
  <si>
    <t>EDGE Bain Jr. 2-1 over WR Tate — Saints NO QB need (Shough ROY)</t>
  </si>
  <si>
    <t>3-way split: WR/CB/EDGE — KC has #9 AND #29 for flexibility</t>
  </si>
  <si>
    <t>Downs (S) 2, Mauigoa (OT) 1, Tyson (WR) 1, Trade-Down 1 — MOST CONTESTED PICK</t>
  </si>
  <si>
    <t>Fano (OT) 2-1 — but if Downs falls, MIA pivots to him</t>
  </si>
  <si>
    <t>McCoy (CB) 2-1 over OT — post-Parsons needs still shape this</t>
  </si>
  <si>
    <t>Lemon (WR) UNANIMOUS 3-0 — local USC + Stafford farewell</t>
  </si>
  <si>
    <t>Mauigoa (OT/IOL)</t>
  </si>
  <si>
    <t>OL (Ioane/Mauigoa) 2-1 over TE Sadiq</t>
  </si>
  <si>
    <t>EDGE Mesidor 2-1 over IOL Ioane</t>
  </si>
  <si>
    <t>Cooper Jr. (WR) 2-1 over OT</t>
  </si>
  <si>
    <t>Freeling (OT) UNANIMOUS 3-0</t>
  </si>
  <si>
    <t>S UNANIMOUS — split on which S (Thieneman 2, McNeil-Warren 1)</t>
  </si>
  <si>
    <t>Sadiq (TE) 2-1 over S — Bryce Young weapon</t>
  </si>
  <si>
    <t>Concepcion/Boston (WR)</t>
  </si>
  <si>
    <t>Faulk (DL/EDGE)</t>
  </si>
  <si>
    <t>Faulk (EDGE)</t>
  </si>
  <si>
    <t>Faulk (DL/EDGE) 2-1 over WR</t>
  </si>
  <si>
    <t>WR UNANIMOUS 3-0 — different WRs</t>
  </si>
  <si>
    <t>Proctor (OL)</t>
  </si>
  <si>
    <t>3-way split: DL/EDGE/OL</t>
  </si>
  <si>
    <t>OT UNANIMOUS 3-0 — different OTs</t>
  </si>
  <si>
    <t>Boston (WR)</t>
  </si>
  <si>
    <t>WR 2, DB/DL 1 — BPA pick, depends on CLE's #6 move</t>
  </si>
  <si>
    <t>Downs (S) via NYG trade-UP</t>
  </si>
  <si>
    <t>Wildcard — trade-up for Downs OR Mesidor/DL BPA</t>
  </si>
  <si>
    <t>3-way split: DL/CB/S</t>
  </si>
  <si>
    <t>OT 2-1 over WR — Shanahan-style LT</t>
  </si>
  <si>
    <t>Houston Texans (Anderson paid!)</t>
  </si>
  <si>
    <t>DL 2-1 over OT — NO EDGE need after $150M Anderson extension</t>
  </si>
  <si>
    <t>3-way split: CB/EDGE/OT — KC could combine w/ #9 to trade up</t>
  </si>
  <si>
    <t>3-way split: QB/DL/EDGE — Simpson QB Tua-insurance alive</t>
  </si>
  <si>
    <t>Rodriguez (LB)</t>
  </si>
  <si>
    <t>EDGE 2-1 over LB — Vrabel defense focus</t>
  </si>
  <si>
    <t>Chris Johnson (CB)</t>
  </si>
  <si>
    <t>CB 2-1 over RB — Seahawks DB pipeline</t>
  </si>
  <si>
    <t>2026 NFL Draft — Trades (POST-LAWRENCE TRADE, 4/18/26 9:18 PM ET) — REFRESHED 4/19/26 8:41 PM PT</t>
  </si>
  <si>
    <t>HEADLINE: Giants sent DT Dexter Lawrence (3x Pro Bowl, age 28) to Bengals for 2026 pick #10 — STRAIGHT UP. Bengals also signed Lawrence to 1-yr $28M extension (through 2028, effectively 3-yr/$70M total). Bengals now have NO first-round pick. Giants now hold BOTH #5 and #10 PLUS ~$13M recovered cap space (Lawrence's $18.5M base - $5.7M pick #10 cap hit = ~$12.8M freed). Per Ed Valentine (BBV) 4/19: NYG may now sign DT D.J. Reader, Shelby Harris, or Calais Campbell in FA. 5 post-trade mocks now published (Kiper, Davenport, Infante, Valentine, Easterling).</t>
  </si>
  <si>
    <t>SECTION D — SUMMARY STATS (formula-driven, now across 5 post-trade mocks)</t>
  </si>
  <si>
    <t>Hours since Lawrence trade announced (live formula, from 4/18 9:18 PM ET = 4/19 01:18 UTC):</t>
  </si>
  <si>
    <t># of mocks with Giants taking Downs (S) at #5 or #10:</t>
  </si>
  <si>
    <t># of mocks with Giants taking Styles (LB) at #5:</t>
  </si>
  <si>
    <t># of mocks with Giants taking Tate (WR) at #5:</t>
  </si>
  <si>
    <t>Real trade compensation total:</t>
  </si>
  <si>
    <t>1 first-round pick (#10) — STRAIGHT UP, no add-ons</t>
  </si>
  <si>
    <t>Lawrence contract after trade (per Schefter/Rapoport):</t>
  </si>
  <si>
    <t>1-yr $28M extension (effectively 3-yr $70M, $23.3M AAV, through 2028)</t>
  </si>
  <si>
    <t>Cap space freed by trade (Valentine/OverTheCap 4/19):</t>
  </si>
  <si>
    <t>~$12.8M (Lawrence $18.5M base − #10 pick's $5.7M cap hit)</t>
  </si>
  <si>
    <t>Giants current cap space (Over The Cap as of 4/19 AM):</t>
  </si>
  <si>
    <t>$18.437M — enables pursuit of DT D.J. Reader / Shelby Harris / Calais Campbell</t>
  </si>
  <si>
    <t>First time CIN traded top-10 pick for a player (common draft era 1966-present):</t>
  </si>
  <si>
    <t>YES — per ESPN Research. Signals risk-taking franchise shift.</t>
  </si>
  <si>
    <t>RELATED COACHING NEWS affecting draft:</t>
  </si>
  <si>
    <t>TEN fired Callahan 10/13/25; hired Robert Saleh (defensive-minded) 1/22/26. NE hired Vrabel. CHI hired Ben Johnson (DC Dennis Allen). NO hired Kellen Moore. NYG hired John Harbaugh.</t>
  </si>
  <si>
    <t>Will Anderson Jr. $150M/3yr extension (4/17/26) ripple:</t>
  </si>
  <si>
    <t>HOU no longer needs EDGE — removes them as trade-up threat for Bailey/Reese/Bain; HOU pivots OL/DL at #28.</t>
  </si>
  <si>
    <t>2026 NFL Draft — REASONING (POST-LAWRENCE TRADE, 4/18/26) — REFRESHED 4/19/26 8:41 PM PT</t>
  </si>
  <si>
    <t>TWO SECTIONS: (1) TEAM PROFILES (Sec 1) — comprehensive per-team dossier w/ updated 2026 HCs &amp; key contract news; (2) PER-PICK ANALYST REASONING (Sec 2) — now across 5 mocks (Kiper/Davenport/Infante/Valentine/Easterling). CRITICAL 4/19 UPDATES: TEN HC = Saleh (defensive 3-4, not Callahan); HOU paid Anderson $150M/3yr 4/17 (NOT an EDGE need); NO QB = Tyler Shough (Carr retired); Giants gained ~$13M cap + likely DT FA signing (Reader/Harris/Campbell). Use this to predict each team's pick independently of analyst consensus.</t>
  </si>
  <si>
    <t>1. EDGE (Saleh's #1 priority) 2. Weapons for Ward (RB/WR) 3. iDL depth (post-Jeffery Simmons aging) 4. CB2</t>
  </si>
  <si>
    <t>NEW HC ROBERT SALEH (hired 1/22/26, 5-yr deal) — DEFENSIVE-minded! Former SF DC (2017-20) + former NYJ HC (2021-24, 20-36 record). Runs AGGRESSIVE 4-3 WIDE-9 front (SF/Seattle Cover 3 tree). Saleh defenses finished top-10 FIVE times as DC. Priority: explosive EDGE rushers + length on D-line. TENURE-KILLING issue for Callahan was Ward's development — Saleh must find OC who can unlock Ward.</t>
  </si>
  <si>
    <t>Cam Ward (No. 1 2025, already turnover-prone but upside QB). Jeffery Simmons anchor (aging, on payroll). GM Mike Borgonzi rebuilding. Team went 3-14 in 2024, 1-5 under Callahan to start 2025, fired him mid-October. Full rebuild mode. Titans moving to new stadium 2027 — urgency to win soon.</t>
  </si>
  <si>
    <t>DAVID BAILEY (EDGE, Texas Tech) — Easterling's pick; perfect Saleh wide-9 prototype. Jeremiyah Love (RB, Notre Dame) — 4 of 5 mocks; if Saleh defers to Borgonzi's offensive-identity plan. REESE (EDGE, OSU) if he falls.</t>
  </si>
  <si>
    <t>STAY at #4 — no trade-down urgency, Titans have capital after 3-14 and 1-5 starts. Borgonzi patient.</t>
  </si>
  <si>
    <t>HUGE SHIFT from pre-trade assumption: Callahan-era mocks all had Love (RB) locked in. With Saleh, EDGE becomes legitimate threat. Saleh's 2021 NYJ draft had Jermaine Johnson (EDGE) #1. Expect Saleh to take an EDGE if Bailey/Reese falls to #4. Love pick would mean Saleh deferred offensive-identity decision to Borgonzi.</t>
  </si>
  <si>
    <t>1. EDGE (post-Cam Jordan retirement) 2. WR1 (complement Olave, who had injury issues) 3. OL interior 4. S/LB</t>
  </si>
  <si>
    <t>HC KELLEN MOORE (2nd yr; ex-Eagles OC won SB LIX). Air-Coryell tree with Shanahan-influenced wide zone runs. DC Brandon Staley — shell coverage, heavy zone, multiple disguise.</t>
  </si>
  <si>
    <t>QB = TYLER SHOUGH, 2025 2nd-rd rookie who went 5-4 as starter, Pepsi Rookie of the Year, AP ORoY finalist, 67.6% completion / 2,384 yds / 10 TDs as rookie — SAINTS ARE COMMITTED TO HIM per Loomis &amp; Moore (Jan 2026). DEREK CARR RETIRED two weeks after 2025 draft (shoulder injury). Chris Olave rebounding. Cam Jordan retired after 2025. Cap tight but not dire.</t>
  </si>
  <si>
    <t>RUEBEN BAIN JR. (EDGE, Miami FL) — 3 of 5 mocks (Kiper, Davenport consensus — local Miami product, 9.5 sacks 2025). CARNELL TATE (WR, OSU) — Easterling's pick (Olave complement).</t>
  </si>
  <si>
    <t>STAY. Cap and QB stability both mean no trade-up urgency.</t>
  </si>
  <si>
    <t>Shock: TATE (WR) if he slides past #5 — Moore Air-Coryell system loves verts. NO LONGER a QB need at all (Shough lock). If Bain Jr. goes earlier, NO pivots to Tate/Lemon (WR) or falls to Keldric Faulk (DL).</t>
  </si>
  <si>
    <t>1. LB (Harbaugh spine) 2. DT (Lawrence replacement — CRITICAL NEW NEED, may be addressed in FA first via Reader/Harris/Campbell) 3. S (Ravens-style cover) 4. WR2 (Nabers complement) 5. OT/G (Dart protection)</t>
  </si>
  <si>
    <t>NEW HC JOHN HARBAUGH (2026, came from BAL — 18 seasons as Ravens HC, 1 Super Bowl). Builds through SPINE: RB, QB, C, iDL, LB, S. Pro-style offense. Harbaugh's Ravens NEVER drafted a DT in Round 1 in 18 seasons (per Ourlads research) — suggests NYG fills DT void through FA + Day 2/3, NOT R1. DC TBD.</t>
  </si>
  <si>
    <t>Jaxson Dart (2025 rookie #25, sacked 35 times in 14 gms — protection need real). Malik Nabers back healthy. Darnell Mooney + Isaiah Likely signed. LAWRENCE GONE. Jermaine Eluemunor re-signed. CAP IMPACT (Valentine 4/19): Trade freed ~$12.8M ($18.5M Lawrence base − $5.7M pick #10 cap); Giants now have $18.4M cap space (OverTheCap) — LIKELY TO SIGN DT D.J. READER before or after draft. Kayvon Thibodeaux + Brian Burns + Abdul Carter (2025 rd 1) = stacked EDGE. Schoen has had TWO top-10 picks TWICE in 5 yrs (only GM in modern era).</t>
  </si>
  <si>
    <t>SONNY STYLES (LB, OSU) — 3 of 5 mocks (Infante, Valentine, Easterling) — Harbaugh spine fit. CALEB DOWNS (S) — 1 mock (Kiper) if he slides. CARNELL TATE (WR) — 1 mock (Davenport).</t>
  </si>
  <si>
    <t>STAY at #5. Two top-10 picks means NO trade-down urgency. Schoen history: likes using his picks (not trading them).</t>
  </si>
  <si>
    <t>Wildcard: DT not in Rd 1 (Harbaugh's 18-yr track record of never Rd1 DT). Also: Jordyn Tyson (WR, Arizona State) — McShay told Valentine this is realistic if NYG stays at #10 &amp; Downs gone. Harbaugh LOVES physical RBs (Ravens = Jamal Lewis, Ray Rice, Derrick Henry) → Jeremiyah Love long-shot if he falls.</t>
  </si>
  <si>
    <t>1. DT (Lawrence void — CRITICAL but may be FA'd via Reader first) 2. WR2 (Dart weapon) 3. S (Ravens-style) 4. OT/G (Dart protection) 5. CB</t>
  </si>
  <si>
    <t>Same Harbaugh spine philosophy. NYG was LAST in league in EPA/play vs designed runs 2025. Harbaugh NEVER drafted a DT in Round 1 in 18 yrs at BAL (per Syvertsen/Ourlads) — interesting inflection point. DC still TBD.</t>
  </si>
  <si>
    <t>Same context as #5. Giants now have 2 top-10 picks, 1 in Rd2 (#37), no CIN-reacquired 2nd (trade was STRAIGHT UP). Per Ranaan/ESPN 4/19: 'Multiple sources' say DT Kayden McDonald (OSU) is 'perfect for Baltimore-style defense Giants will run' — McDonald could be a DAY 2 target after Rd 1 BPA.</t>
  </si>
  <si>
    <t>CALEB DOWNS (S) — 2 of 5 mocks (Davenport, Infante) — Harbaugh Ed Reed DNA. FRANCIS MAUIGOA (OT) — Kiper (Dart protection). JORDYN TYSON (WR, ASU) — Easterling (Dart weapon, explicitly met with Schoen recently). TRADE DOWN — Valentine's pick (to CHI for 25+57+60+2027 2nd, then McDonald at 25).</t>
  </si>
  <si>
    <t>SPLIT. 4 of 5 use the pick; 1 trades down. Valentine's trade-down is live scenario (CHI HC Ben Johnson + DC Dennis Allen both 1st-yr, Downs dream fit). Otherwise DT-replacement need may push toward BPA safety/OT and handle DT via FA (Reader) + Rd 2 (McDonald, Lee Hunter).</t>
  </si>
  <si>
    <t>Shock: JORDYN TYSON (Schoen personally met him — FanSided/Kline 4/18). NYG goes all offense (Styles at 5 + Tyson at 10). OR trade DOWN to mid-1st for DT value + extra capital (Valentine model). OR if Reader signs pre-draft, go pure BPA here.</t>
  </si>
  <si>
    <t>1. WR1 (Puka + Davante both there — need future) 2. OT (Trent Williams succession) 3. EDGE 4. iDL</t>
  </si>
  <si>
    <t>HC SEAN McVAY — WCO with Shanahan influence. DC Chris Shula — Fangio 3-4 hybrid.</t>
  </si>
  <si>
    <t>Stafford still starting (back for 2026 per Easterling). Puka Nacua star. DAVANTE ADAMS now on LAR roster. Matthew contract situation ongoing. Two 1sts (#13 via ATL, #29 traded to KC). Les Snead LOVES WR + trading picks.</t>
  </si>
  <si>
    <t>MAKAI LEMON (WR, USC) — UNANIMOUS 3-0 (Kiper, Davenport, Easterling). Local USC tie + Stafford farewell weapon. EDGE or OT alt.</t>
  </si>
  <si>
    <t>Snead is serial trader — always an option. Could move UP from #13 if elite talent falls.</t>
  </si>
  <si>
    <t>Shock: Trade UP to top-10 for Tate/Downs/Styles. Or QB if Stafford suddenly announces 2026 is last (no indication yet).</t>
  </si>
  <si>
    <t>1. WR speed/YAC (have size already in Metcalf + Pittman) 2. iDL (Cam Heyward aging) 3. CB2 4. OL</t>
  </si>
  <si>
    <t>HC MIKE TOMLIN. DC Teryl Austin — zone-heavy, Fangio-influenced. OC Arthur Smith position TBD.</t>
  </si>
  <si>
    <t>QB future: Aaron Rodgers was starter 2025 (per ESPN Texans game article); QB situation post-Rodgers unresolved — WATCH for QB pick here if Simpson slides. DK METCALF + MICHAEL PITTMAN JR. are the WR room (per Easterling) — need YAC/speed complement. T.J. Watt paid. Heyward aging rapidly.</t>
  </si>
  <si>
    <t>KC CONCEPCION (WR, Texas A&amp;M) — Easterling (speed/YAC complement). OMAR COOPER JR. (WR) — Kiper. JORDYN TYSON (WR) — Davenport. All 3 = WR consensus.</t>
  </si>
  <si>
    <t>STAY — Tomlin trusts board. But if Simpson (QB) falls here, PIT could pivot hard.</t>
  </si>
  <si>
    <t>Shock: Ty SIMPSON (QB, Alabama) — post-Rodgers succession. Or iDL (Kayden McDonald) as Heyward successor.</t>
  </si>
  <si>
    <t>1. OT (Laremy Tunsil aging) 2. iDL depth 3. WR3 (behind Nico Collins) 4. RB</t>
  </si>
  <si>
    <t>HC DeMECO RYANS — 49ers-style wide-9 4-3. OC NICK CALEY (new hire 2026). CJ Stroud franchise QB.</t>
  </si>
  <si>
    <t>Stroud year 3 (fifth-year option picked up 4/8/26). Nico Collins paid. WILL ANDERSON JR. JUST SIGNED 3-YR/$150M EXTENSION (4/17/26) — highest-paid non-QB in NFL history, $134M guaranteed, locked through 2030. DANIELLE HUNTER on 1-yr $40M deal. Dalton Schultz 1-yr $12.6M ext. Derek Stingley Jr. already paid. EDGE POSITION FULLY ADDRESSED — NO NEED whatsoever. Texans now cap-tight after WR/DE/CB deals.</t>
  </si>
  <si>
    <t>CHRISTEN MILLER (DL, Georgia) — Kiper. MAX IHEANACHOR (OT, Arizona State) — Davenport. PETER WOODS (DL, Clemson) — Easterling. DL/OT 3-0 consensus. NO EDGE (obvious given Anderson deal).</t>
  </si>
  <si>
    <t>STAY. HOU young/cap-tight roster, patient. Ryans not a trader historically.</t>
  </si>
  <si>
    <t>MAJOR SHIFT: Pre-Anderson-deal mocks had HOU as potential EDGE trade-UP team. Now OUT of EDGE market entirely. This LIFTS Bailey/Reese floor since one fewer team pursuing them. HOU's $150M commitment also affects DEN/BUF/KC bidding math on future EDGEs. Shock pick: RB if Joe Mixon aging sharply, or WR if a falls.</t>
  </si>
  <si>
    <t>SECTION 2 — PER-PICK ANALYST REASONING (5 mocks; synthesis reflects updated probabilities)</t>
  </si>
  <si>
    <t>Consensus (5 mocks)</t>
  </si>
  <si>
    <t>#1 Kiper (ESPN) — 4/18</t>
  </si>
  <si>
    <t>#5 Easterling (Athlon) — 4/18</t>
  </si>
  <si>
    <t>Kiper: 'Raiders have no QB future without him. Mendoza's processing + accuracy over the middle separate him.'</t>
  </si>
  <si>
    <t>Davenport: Mendoza is QB1. Tom Brady (minority owner) reportedly drove pick after IU's CFP title run.</t>
  </si>
  <si>
    <t>Infante: Accepts Mendoza as baseline.</t>
  </si>
  <si>
    <t>Valentine: Accepts Mendoza.</t>
  </si>
  <si>
    <t>Easterling: 'The only sure thing in this year's draft. Mendoza's Heisman + undefeated national title season.'</t>
  </si>
  <si>
    <t>LOCK. 5-0 unanimous. Mendoza #1 at ~99% probability. Only scenario otherwise: late medical red flag.</t>
  </si>
  <si>
    <t>Kiper: BAILEY (Texas Tech) — 14.5 sacks, 'most polished pass rusher.'</t>
  </si>
  <si>
    <t>Davenport: REESE — 'best hybrid edge, scheme-versatile for Glenn's 3-4.'</t>
  </si>
  <si>
    <t>Infante: REESE.</t>
  </si>
  <si>
    <t>Valentine: REESE.</t>
  </si>
  <si>
    <t>Easterling: REESE — 'Glenn's D needs young talent at multiple positions; Reese has limitless upside.'</t>
  </si>
  <si>
    <t>REESE WINS 4-1. ~80% Reese, ~15% Bailey, ~5% shock. Jets EDGE is near-lock. HUGE ripple: HOU no longer EDGE-hunting (Anderson paid $150M), so Bailey can fall further.</t>
  </si>
  <si>
    <t>SPLIT — EDGE 3, OT 1, RB 1</t>
  </si>
  <si>
    <t>Kiper: REESE (if Bailey gone #2).</t>
  </si>
  <si>
    <t>Davenport: BAILEY.</t>
  </si>
  <si>
    <t>Valentine: MAUIGOA (OT) — Kyler protection.</t>
  </si>
  <si>
    <t>Easterling: LOVE (RB) — 'if Cards can't trade out, keep simple with BPA.'</t>
  </si>
  <si>
    <t>MOST-LIKELY TRADE-DOWN TEAM in top 5 (per Easterling). If stays: EDGE 50% / Love RB 20% / Mauigoa OT 15% / Trade-down 15%. Gannon = defensive HC; pass rush is desperate need. Love falling here = offense-focused.</t>
  </si>
  <si>
    <t>Love (RB) 4-1 BUT Saleh (HC) makes EDGE LIVE</t>
  </si>
  <si>
    <t>Kiper: LOVE — 'best playmaker for young Ward.'</t>
  </si>
  <si>
    <t>Davenport: LOVE.</t>
  </si>
  <si>
    <t>Infante: LOVE.</t>
  </si>
  <si>
    <t>Valentine: LOVE.</t>
  </si>
  <si>
    <t>Easterling: BAILEY (EDGE) — 'Saleh takes over as HC, wouldn't be surprising if he pushes for explosive productive EDGE like Bailey.' *Only analyst accounting for Saleh hire*</t>
  </si>
  <si>
    <t>MAJOR INFLECTION POINT: Callahan-era mocks universally had Love. But SALEH (hired 1/22/26) is a DEFENSIVE HC who runs wide-9 4-3 and drafted EDGE Jermaine Johnson #1 as NYJ HC in 2022. Expect Saleh to pursue EDGE if Bailey/Reese falls. Updated probability: Love 55%, Bailey/EDGE 30%, Mauigoa OT 10%, other 5%.</t>
  </si>
  <si>
    <t>Styles (LB) 3, Downs (S) 1, Tate (WR) 1</t>
  </si>
  <si>
    <t>Kiper: DOWNS (S) — 'Harbaugh loves play-making safeties (Ed Reed, Kyle Hamilton history).'</t>
  </si>
  <si>
    <t>Davenport: TATE (WR) — 'Dart needs weapon; Nabers + Tate = elite young duo.'</t>
  </si>
  <si>
    <t>Infante: STYLES (LB) — 'Harbaugh builds through spine. Styles fits spine.'</t>
  </si>
  <si>
    <t>Valentine: STYLES (LB) — 'Harbaugh's spine philosophy. Styles' athletic traits + leadership ideal.'</t>
  </si>
  <si>
    <t>Easterling: STYLES (LB) — 'Foundational player upon which Harbaugh can build his culture.'</t>
  </si>
  <si>
    <t>STYLES is the POST-TRADE CONSENSUS (3 of 5 — including BOTH Giants-insider analysts Valentine &amp; Infante + Easterling). Harbaugh-Ravens spine philosophy dominant. Probability: Styles 55%, Downs 20%, Tate 15%, other 10%. Downs falls to #10 in those 3 mocks.</t>
  </si>
  <si>
    <t>OT (Fano/Proctor) leading; trade-down lurking</t>
  </si>
  <si>
    <t>Kiper: STYLES (LB) if stays, but flags trade-back heavily.</t>
  </si>
  <si>
    <t>Davenport: PROCTOR (OT) — 'CLE pivots after Tate gone at 5.'</t>
  </si>
  <si>
    <t>Infante: N/A.</t>
  </si>
  <si>
    <t>Valentine: N/A.</t>
  </si>
  <si>
    <t>Easterling: FANO (OT) — 'another team that would prefer to trade down; expect CLE to use first of two 1sts at OT.'</t>
  </si>
  <si>
    <t>HIGH UNCERTAINTY but OT momentum building. CLE was #1 trade-back target pre-trade. Probability: Fano OT 25%, Proctor OT 20%, Styles-if-falls 15%, trade-down 25%, QB 10%, other 5%.</t>
  </si>
  <si>
    <t>Kiper: TATE (WR) — 'Daniels needs WR1 opposite McLaurin.'</t>
  </si>
  <si>
    <t>Davenport: STYLES (LB) — 'Quinn LB need.'</t>
  </si>
  <si>
    <t>Easterling: DELANE (CB, LSU) — 'defense needs true shutdown corner; Delane erased his side of field at LSU.'</t>
  </si>
  <si>
    <t>3-way split. Quinn (HC) is defensive-minded — LB or CB slight edge. Probability: Tate WR 30%, Styles LB 25% (if falls), Delane CB 25%, other 20%.</t>
  </si>
  <si>
    <t>Bain Jr. (EDGE) 3-0 vs Tate (WR) 1</t>
  </si>
  <si>
    <t>Kiper: BAIN JR. — 'local Miami product, 9.5 sacks, replaces Cam Jordan era.'</t>
  </si>
  <si>
    <t>Davenport: BAIN JR. — post-Jordan EDGE.</t>
  </si>
  <si>
    <t>Easterling: TATE (WR) — 'Shough gets another high-end target to pair with Chris Olave.'</t>
  </si>
  <si>
    <t>Bain Jr. strong but Shough-era adds WR as real option. Saints NO LONGER need QB (Shough = 2025 ROY finalist, team committed per Loomis/Moore). Probability: Bain Jr. EDGE 45%, Tate WR 25%, Faulk DL 15%, other 15%.</t>
  </si>
  <si>
    <t>3-way split: WR/CB/EDGE</t>
  </si>
  <si>
    <t>Kiper: TYSON (WR) — 'Mahomes needs WR1 post-Rice drama.'</t>
  </si>
  <si>
    <t>Davenport: DELANE (CB, LSU) — 'McDuffie running mate.'</t>
  </si>
  <si>
    <t>Easterling: BAIN JR. (EDGE) — 'dominant edge to defend run + rush passer.'</t>
  </si>
  <si>
    <t>Split. KC has #9 + #29 for flexibility — Veach loves splash moves. Probability: Tyson WR 25%, Delane CB 25%, Bain Jr. EDGE 20%, trade-UP 20%, other 10%.</t>
  </si>
  <si>
    <t>#10 NYG via CIN</t>
  </si>
  <si>
    <t>Downs (S) 2, Mauigoa (OT) 1, Tyson (WR) 1, TRADE-DOWN 1</t>
  </si>
  <si>
    <t>Kiper: MAUIGOA (OT) — 'protect Dart (35 sacks); kick inside for Pro Bowl ceiling.'</t>
  </si>
  <si>
    <t>Davenport: DOWNS (S) — 'Harbaugh loves Ed Reed-caliber safeties; no S in top-10 since Adams 2017 — Downs breaks that.'</t>
  </si>
  <si>
    <t>Infante: DOWNS (S) — 'wishful thinking, Downs is my #1 overall prospect.'</t>
  </si>
  <si>
    <t>Valentine: TRADE DOWN to CHI (picks 25+57+60+2027 2nd), then draft Kayden McDonald (DT, OSU) at 25 to replace Lawrence.</t>
  </si>
  <si>
    <t>Easterling: TYSON (WR) — 'help Dart with another big-play receiver; even more dangerous with healthy Nabers.' (Also note: Schoen personally met Tyson recently per Kline/FanSided.)</t>
  </si>
  <si>
    <t>MOST CONTESTED PICK IN DRAFT. Probability: Downs S 35%, Tyson WR 20%, Mauigoa OT 15%, Trade-Down 15%, Other (Lemon/Styles-if-available) 15%. Harbaugh's 18-yr Ravens history = NEVER drafted DT Rd1 → DT (Reader FA or McDonald Day 2) rather than here.</t>
  </si>
  <si>
    <t>Fano (OT) 2 vs Downs (S) 1</t>
  </si>
  <si>
    <t>Kiper: FANO (OT) — Tua protection.</t>
  </si>
  <si>
    <t>Davenport: FANO (OT).</t>
  </si>
  <si>
    <t>Easterling: DOWNS (S) — 'best player in entire draft outside top-10; kickstart rebuild.'</t>
  </si>
  <si>
    <t>Fano ~50% if available. If Downs falls past NYG, MIA pivots. If Mauigoa falls, MIA could pivot there too. Probability: Fano OT 40%, Downs S 25%, Mauigoa OT 15%, other 20%.</t>
  </si>
  <si>
    <t>McCoy (CB) 2 vs Proctor (OT) 1</t>
  </si>
  <si>
    <t>Kiper: PROCTOR (OT).</t>
  </si>
  <si>
    <t>Davenport: McCOY (CB) — 'CB2 opposite Bland.'</t>
  </si>
  <si>
    <t>Easterling: McCOY (CB, TEN) — 'shutdown corner; his 2024 tape shows elite playmaker — could be a steal outside top-10.'</t>
  </si>
  <si>
    <t>McCoy CB now has 2 mocks (including Easterling). Probability: McCoy CB 35%, Proctor OT 25%, trade-up 15%, Styles-if-falls 15%, WR 10%.</t>
  </si>
  <si>
    <t>Lemon (WR) UNANIMOUS 3-0</t>
  </si>
  <si>
    <t>Kiper: LEMON.</t>
  </si>
  <si>
    <t>Davenport: LEMON.</t>
  </si>
  <si>
    <t>Easterling: LEMON — 'Stafford back, surround him with weapons; toughness + big-play explosiveness alongside Nacua &amp; Davante Adams.'</t>
  </si>
  <si>
    <t>Lemon ~65%. Snead trades picks often — always possibility. Probability: Lemon WR 65%, trade 20%, OT 10%, other 5%.</t>
  </si>
  <si>
    <t>OL (Ioane/Mauigoa) 2 vs Sadiq (TE) 1</t>
  </si>
  <si>
    <t>Kiper: SADIQ (TE).</t>
  </si>
  <si>
    <t>Davenport: IOANE (IOL).</t>
  </si>
  <si>
    <t>Easterling: MAUIGOA (OL) — 'long-term tackle insurance + immediate guard help.'</t>
  </si>
  <si>
    <t>POST-HARBAUGH NEW HC (TBD). OL now 2 mocks. Probability: OL (Ioane/Mauigoa) 40%, TE Sadiq 20%, DT 20%, other 20%.</t>
  </si>
  <si>
    <t>Mesidor (EDGE) 2 vs Ioane (IOL) 1</t>
  </si>
  <si>
    <t>Kiper: MESIDOR (Miami).</t>
  </si>
  <si>
    <t>Davenport: MESIDOR.</t>
  </si>
  <si>
    <t>Easterling: IOANE (IOL) — 'more immediate needs on D but Bucs proven willing to prioritize value; top-10 prospect with Pro Bowl potential.'</t>
  </si>
  <si>
    <t>Mesidor still leads but Ioane is BPA darkhorse. Probability: Mesidor EDGE 45%, Ioane IOL 25%, Faulk DL 15%, other 15%.</t>
  </si>
  <si>
    <t>Cooper Jr (WR) 2 vs Mauigoa (OT) 1</t>
  </si>
  <si>
    <t>Kiper: COOPER JR (WR).</t>
  </si>
  <si>
    <t>Davenport: MAUIGOA (OT).</t>
  </si>
  <si>
    <t>Easterling: COOPER JR (WR) — 'ideal WR2 with alignment versatility + big-play clutch ability.'</t>
  </si>
  <si>
    <t>WR 2-1 over OT. McShay pre-trade had NYJ trading UP from #16 to #7 for Tate. Probability: Cooper Jr WR 35%, Mauigoa OT 20%, trade-up 20%, other 25%.</t>
  </si>
  <si>
    <t>Davenport: FREELING.</t>
  </si>
  <si>
    <t>Easterling: FREELING — 'replace Decker; high-upside prospect coming off dominant 2025.'</t>
  </si>
  <si>
    <t>Freeling strong consensus. ~70%. Very LT-specific pick, hard to see pivot.</t>
  </si>
  <si>
    <t>S consensus — split on which</t>
  </si>
  <si>
    <t>Kiper: THIENEMAN (Oregon).</t>
  </si>
  <si>
    <t>Davenport: THIENEMAN.</t>
  </si>
  <si>
    <t>Easterling: McNEIL-WARREN (S, Toledo) — 'Harrison Smith retirement; back-end playmaker.'</t>
  </si>
  <si>
    <t>S lock (Flores defense + Smith retirement). Probability: Thieneman 45%, McNeil-Warren 30%, other S/iDL 25%.</t>
  </si>
  <si>
    <t>Sadiq (TE) 2 vs McNeil-Warren (S) 1</t>
  </si>
  <si>
    <t>Kiper: McNEIL-WARREN (S).</t>
  </si>
  <si>
    <t>Easterling: SADIQ (TE) — 'mismatch weapon for Young with physicality + athleticism.'</t>
  </si>
  <si>
    <t>Sadiq 2-1 over S. Probability: Sadiq TE 40%, McNeil-Warren S 20%, WR 20%, OT 10%, LB 10%.</t>
  </si>
  <si>
    <t>Faulk (DL/EDGE) 2 vs WR 1</t>
  </si>
  <si>
    <t>Davenport: FAULK (DL) — value.</t>
  </si>
  <si>
    <t>Easterling: FAULK (EDGE, Auburn) — 'after boosting secondary w/ McCoy, address high-end edge defender need; dev pass rusher + immediate run help.'</t>
  </si>
  <si>
    <t>DAL front-7 post-Parsons need = 2 mocks on Faulk now. Probability: Faulk 40%, WR 25%, trade 15%, LB 15%, CB 5%.</t>
  </si>
  <si>
    <t>WR UNANIMOUS 3-0 (different WRs)</t>
  </si>
  <si>
    <t>Davenport: TYSON (WR).</t>
  </si>
  <si>
    <t>Easterling: CONCEPCION (WR, Texas A&amp;M) — 'pair with Metcalf + Pittman Jr., speed/YAC complement.'</t>
  </si>
  <si>
    <t>WR lock. Probability: WR 65% (split among Cooper Jr/Tyson/Concepcion), QB Simpson 15% (post-Rodgers), iDL 10%, other 10%.</t>
  </si>
  <si>
    <t>Kiper: WOODS (DL, Clemson).</t>
  </si>
  <si>
    <t>Davenport: PARKER (EDGE).</t>
  </si>
  <si>
    <t>Easterling: PROCTOR (OL) — 'protect Herbert; experience + upside. Could kick inside to guard where LAC has bigger need.'</t>
  </si>
  <si>
    <t>Harbaugh loves trenches — DL/EDGE/OL all Probability: Woods DL 25%, Parker EDGE 20%, Proctor OL 25%, RB (Harbaugh-run) 15%, other 15%.</t>
  </si>
  <si>
    <t>OT UNANIMOUS 3-0 (different OTs)</t>
  </si>
  <si>
    <t>Easterling: IHEANACHOR (OT, ASU) — 'Lane Johnson successor; upside + physical traits.'</t>
  </si>
  <si>
    <t>Roseman trades constantly — ~30% move. If stays: OT 50%. Probability: OT 50% (Miller/Lomu/Iheanachor), trade 30%, LB/CB 20%.</t>
  </si>
  <si>
    <t>WR 2, CB/DL 1</t>
  </si>
  <si>
    <t>Easterling: BOSTON (WR, Washington) — 'new WR1; size + athleticism + dominant red-zone target.'</t>
  </si>
  <si>
    <t>Depends on CLE's #6 move. If trade-back at 6, this is BPA. Probability: WR 40%, DB 25%, DL 20%, QB (desperate Watson move) 15%.</t>
  </si>
  <si>
    <t>Wildcard — DL/EDGE/trade-up</t>
  </si>
  <si>
    <t>Kiper: ZION YOUNG (DL).</t>
  </si>
  <si>
    <t>Valentine: CHI TRADES UP to #10 for CALEB DOWNS (S) — dream Dennis Allen safety.</t>
  </si>
  <si>
    <t>Easterling: MESIDOR (EDGE, Miami) — 'older prospect (25) but Bears are contending; pass-rush dominance.'</t>
  </si>
  <si>
    <t>Most interesting pick outside top-10. Ben Johnson (HC) + Dennis Allen (DC) = 1st-yr teams love splash. Probability: Mesidor EDGE 25%, DL (Young/Woods) 20%, S 15%, Trade-UP for Downs 20%, other 20%.</t>
  </si>
  <si>
    <t>Easterling: THIENEMAN (S, Oregon) — 'Cole Bishop emerged but need another high-end safety; athleticism + versatility.'</t>
  </si>
  <si>
    <t>Split. Probability: DL 25%, CB 25%, S 25% (Thieneman fallback), WR 15%, other 10%.</t>
  </si>
  <si>
    <t>OT 2-1 over WR</t>
  </si>
  <si>
    <t>Kiper: IHEANACHOR (OT, ASU).</t>
  </si>
  <si>
    <t>Davenport: COOPER JR (WR).</t>
  </si>
  <si>
    <t>Easterling: LOMU (OT, Utah) — 'even if Trent Williams returns 2026, invest in future LT; high-end traits + upside.'</t>
  </si>
  <si>
    <t>Shanahan OL traditional pick. Probability: OT 50% (Iheanachor/Lomu), WR 20%, CB 15%, DL 15%.</t>
  </si>
  <si>
    <t>DL 2-1 over OT — NO EDGE (Anderson paid $150M!)</t>
  </si>
  <si>
    <t>Easterling: WOODS (DL, Clemson) — 'Ryans perfect coach to unlock potential; skill set one of few things this defense lacks.'</t>
  </si>
  <si>
    <t>WILL ANDERSON JR. $150M/3yr extension (4/17/26) eliminates EDGE need entirely. Ryans' wide-9 still wants DL disruption. Probability: DL (Miller/Woods) 45%, OT 25%, WR 15%, RB 10%, CB 5%.</t>
  </si>
  <si>
    <t>3-way split: CB/EDGE/OT</t>
  </si>
  <si>
    <t>Kiper: HOOD (CB, TEN).</t>
  </si>
  <si>
    <t>Easterling: BLAKE MILLER (OT, Clemson) — 'still haven't found reliable RT; Miller started 54 gms at that spot for Tigers.'</t>
  </si>
  <si>
    <t>Could combine with #9 to trade UP (Veach loves splash). Probability: trade-UP 25%, CB 20%, EDGE 20%, OT 20%, RB 15%.</t>
  </si>
  <si>
    <t>3-way split: QB/DL/EDGE</t>
  </si>
  <si>
    <t>Easterling: MALACHI LAWRENCE (EDGE, UCF) — 'rebuild on defense; high-upside pass rusher climbing boards.'</t>
  </si>
  <si>
    <t>Surprise QB scenario still alive. Probability: Simpson QB 20%, DL 25%, Malachi Lawrence EDGE 20%, trade-out 15%, other 20%.</t>
  </si>
  <si>
    <t>EDGE 2-1 over LB</t>
  </si>
  <si>
    <t>Davenport: MALACHI LAWRENCE (EDGE).</t>
  </si>
  <si>
    <t>Easterling: JACOB RODRIGUEZ (LB, Texas Tech) — 'Vrabel defense needs difference-maker at 2nd level; physical + intangible fit.'</t>
  </si>
  <si>
    <t>Vrabel defensive focus. Probability: EDGE 45% (Mesidor/M.Lawrence), LB 25%, OT 20%, WR 10%.</t>
  </si>
  <si>
    <t>CB 2-1 over RB</t>
  </si>
  <si>
    <t>Kiper: PRICE (RB).</t>
  </si>
  <si>
    <t>Easterling: CHRIS JOHNSON (CB, San Diego State) — 'replace Riq Woolen in FA; polish + big-play ability.'</t>
  </si>
  <si>
    <t>Macdonald's first full draft — Ravens-style BPA. Probability: CB 40% (Hood/Johnson), iDL 25%, RB 15%, OL 10%, other 10%.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</si>
</sst>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sz val="11"/>
      <color rgb="FF595959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EB9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vertical="top" wrapText="1"/>
    </xf>
    <xf numFmtId="0" fontId="0" fillId="0" borderId="0" xfId="0"/>
    <xf numFmtId="0" fontId="6" fillId="6" borderId="0" xfId="0" applyFont="1" applyFill="1"/>
    <xf numFmtId="0" fontId="2" fillId="2" borderId="0" xfId="0" applyFont="1" applyFill="1" applyAlignment="1">
      <alignment wrapText="1"/>
    </xf>
    <xf numFmtId="0" fontId="3" fillId="4" borderId="0" xfId="0" applyFont="1" applyFill="1"/>
    <xf numFmtId="0" fontId="1" fillId="0" borderId="0" xfId="0" applyFont="1" applyAlignment="1">
      <alignment horizontal="center" vertical="top" wrapText="1"/>
    </xf>
    <xf numFmtId="0" fontId="1" fillId="9" borderId="0" xfId="0" applyFont="1" applyFill="1" applyAlignment="1">
      <alignment horizontal="center" vertical="top" wrapText="1"/>
    </xf>
    <xf numFmtId="0" fontId="5" fillId="6" borderId="0" xfId="0" applyFont="1" applyFill="1"/>
    <xf numFmtId="0" fontId="3" fillId="4" borderId="0" xfId="0" applyFont="1" applyFill="1" applyAlignment="1">
      <alignment horizontal="center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  <xf numFmtId="0" fontId="0" fillId="8" borderId="0" xfId="0" applyFill="1" applyAlignment="1">
      <alignment wrapText="1"/>
    </xf>
    <xf numFmtId="0" fontId="5" fillId="10" borderId="0" xfId="0" applyFont="1" applyFill="1"/>
    <xf numFmtId="0" fontId="0" fillId="11" borderId="0" xfId="0" applyFill="1" applyAlignment="1">
      <alignment vertical="top" wrapText="1"/>
    </xf>
    <xf numFmtId="0" fontId="1" fillId="11" borderId="0" xfId="0" applyFont="1" applyFill="1" applyAlignment="1">
      <alignment vertical="top" wrapText="1"/>
    </xf>
    <xf numFmtId="0" fontId="3" fillId="12" borderId="0" xfId="0" applyFont="1" applyFill="1"/>
    <xf numFmtId="0" fontId="3" fillId="13" borderId="0" xfId="0" applyFont="1" applyFill="1"/>
    <xf numFmtId="0" fontId="7" fillId="0" borderId="0" xfId="0" applyFont="1" applyAlignment="1">
      <alignment wrapText="1"/>
    </xf>
    <xf numFmtId="0" fontId="8" fillId="11" borderId="0" xfId="0" applyFont="1" applyFill="1" applyAlignment="1">
      <alignment wrapText="1"/>
    </xf>
    <xf numFmtId="0" fontId="7" fillId="0" borderId="0" xfId="0" applyFont="1" applyAlignment="1">
      <alignment wrapText="1"/>
    </xf>
    <xf numFmtId="0" fontId="3" fillId="14" borderId="0" xfId="0" applyFont="1" applyFill="1" applyAlignment="1">
      <alignment wrapText="1"/>
    </xf>
    <xf numFmtId="0" fontId="1" fillId="3" borderId="0" xfId="0" applyFont="1" applyFill="1"/>
    <xf numFmtId="165" fontId="0" fillId="3" borderId="0" xfId="0" applyNumberFormat="1" applyFill="1"/>
    <xf numFmtId="0" fontId="0" fillId="3" borderId="0" xfId="0" applyFill="1"/>
    <xf numFmtId="0" fontId="4" fillId="6" borderId="0" xfId="0" applyFont="1" applyFill="1"/>
    <xf numFmtId="0" fontId="6" fillId="15" borderId="0" xfId="0" applyFont="1" applyFill="1"/>
    <xf numFmtId="0" fontId="3" fillId="4" borderId="1" xfId="0" applyFont="1" applyFill="1" applyBorder="1" applyAlignment="1">
      <alignment wrapText="1"/>
    </xf>
    <xf numFmtId="0" fontId="1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8" fillId="11" borderId="1" xfId="0" applyFont="1" applyFill="1" applyBorder="1" applyAlignment="1">
      <alignment vertical="top" wrapText="1"/>
    </xf>
    <xf numFmtId="0" fontId="1" fillId="0" borderId="0" xfId="0" applyFont="1" applyFill="1" applyBorder="1" applyAlignment="1">
      <alignment vertical="top" wrapText="1"/>
    </xf>
    <xf numFmtId="0" fontId="6" fillId="15" borderId="0" xfId="0" applyFont="1" applyFill="1" applyBorder="1" applyAlignment="1">
      <alignment vertical="top" wrapText="1"/>
    </xf>
    <xf numFmtId="0" fontId="1" fillId="7" borderId="2" xfId="0" applyFont="1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0" fontId="1" fillId="9" borderId="1" xfId="0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vertical="top" wrapText="1"/>
    </xf>
    <xf numFmtId="0" fontId="1" fillId="16" borderId="1" xfId="0" applyFont="1" applyFill="1" applyBorder="1" applyAlignment="1">
      <alignment horizontal="center" vertical="top" wrapText="1"/>
    </xf>
    <xf numFmtId="0" fontId="1" fillId="16" borderId="1" xfId="0" applyFont="1" applyFill="1" applyBorder="1" applyAlignment="1">
      <alignment vertical="top" wrapText="1"/>
    </xf>
    <xf numFmtId="0" fontId="1" fillId="17" borderId="1" xfId="0" applyFont="1" applyFill="1" applyBorder="1" applyAlignment="1">
      <alignment horizontal="center" vertical="top" wrapText="1"/>
    </xf>
    <xf numFmtId="0" fontId="1" fillId="17" borderId="1" xfId="0" applyFont="1" applyFill="1" applyBorder="1" applyAlignment="1">
      <alignment vertical="top" wrapText="1"/>
    </xf>
    <xf numFmtId="0" fontId="0" fillId="1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FD142-DC22-4E6F-AF32-2BF02BD18C62}">
  <dimension ref="A1:J45"/>
  <sheetViews>
    <sheetView workbookViewId="0">
      <selection sqref="A1:J1"/>
    </sheetView>
  </sheetViews>
  <sheetFormatPr defaultRowHeight="14.5" x14ac:dyDescent="0.35"/>
  <cols>
    <col min="1" max="1" width="14.54296875" customWidth="1"/>
    <col min="2" max="2" width="43.6328125" customWidth="1"/>
    <col min="3" max="6" width="32.7265625" customWidth="1"/>
    <col min="7" max="9" width="3.6328125" customWidth="1"/>
    <col min="10" max="10" width="43.6328125" customWidth="1"/>
    <col min="11" max="22" width="13.6328125" customWidth="1"/>
    <col min="23" max="23" width="1.81640625" customWidth="1"/>
    <col min="24" max="24" width="23.6328125" customWidth="1"/>
  </cols>
  <sheetData>
    <row r="1" spans="1:10" ht="28" customHeight="1" x14ac:dyDescent="0.4">
      <c r="A1" s="3" t="s">
        <v>429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5">
      <c r="A2" s="4" t="s">
        <v>430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35">
      <c r="A4" s="5" t="s">
        <v>0</v>
      </c>
      <c r="B4" s="5" t="s">
        <v>1</v>
      </c>
      <c r="C4" s="5" t="s">
        <v>79</v>
      </c>
      <c r="D4" s="5" t="s">
        <v>41</v>
      </c>
      <c r="E4" s="5" t="s">
        <v>80</v>
      </c>
    </row>
    <row r="5" spans="1:10" ht="58" x14ac:dyDescent="0.35">
      <c r="A5" s="6">
        <v>1</v>
      </c>
      <c r="B5" s="1" t="s">
        <v>81</v>
      </c>
      <c r="C5" s="1" t="s">
        <v>82</v>
      </c>
      <c r="D5" s="7" t="s">
        <v>32</v>
      </c>
      <c r="E5" s="1" t="s">
        <v>83</v>
      </c>
    </row>
    <row r="6" spans="1:10" ht="58" x14ac:dyDescent="0.35">
      <c r="A6" s="6">
        <v>2</v>
      </c>
      <c r="B6" s="1" t="s">
        <v>84</v>
      </c>
      <c r="C6" s="1" t="s">
        <v>85</v>
      </c>
      <c r="D6" s="7" t="s">
        <v>32</v>
      </c>
      <c r="E6" s="1" t="s">
        <v>86</v>
      </c>
    </row>
    <row r="7" spans="1:10" ht="43.5" x14ac:dyDescent="0.35">
      <c r="A7" s="6">
        <v>3</v>
      </c>
      <c r="B7" s="1" t="s">
        <v>87</v>
      </c>
      <c r="C7" s="1" t="s">
        <v>88</v>
      </c>
      <c r="D7" s="7" t="s">
        <v>32</v>
      </c>
      <c r="E7" s="1" t="s">
        <v>89</v>
      </c>
    </row>
    <row r="8" spans="1:10" ht="58" x14ac:dyDescent="0.35">
      <c r="A8" s="6">
        <v>4</v>
      </c>
      <c r="B8" s="1" t="s">
        <v>90</v>
      </c>
      <c r="C8" s="1" t="s">
        <v>91</v>
      </c>
      <c r="D8" s="7" t="s">
        <v>32</v>
      </c>
      <c r="E8" s="1" t="s">
        <v>92</v>
      </c>
    </row>
    <row r="9" spans="1:10" x14ac:dyDescent="0.35">
      <c r="A9">
        <v>5</v>
      </c>
      <c r="B9" t="s">
        <v>431</v>
      </c>
      <c r="C9" t="s">
        <v>432</v>
      </c>
      <c r="D9" t="s">
        <v>32</v>
      </c>
      <c r="E9" t="s">
        <v>433</v>
      </c>
    </row>
    <row r="10" spans="1:10" ht="16" x14ac:dyDescent="0.4">
      <c r="A10" s="8" t="s">
        <v>434</v>
      </c>
      <c r="B10" s="2"/>
      <c r="C10" s="2"/>
      <c r="D10" s="2"/>
      <c r="E10" s="2"/>
      <c r="F10" s="2"/>
      <c r="G10" s="2"/>
      <c r="H10" s="2"/>
      <c r="I10" s="2"/>
      <c r="J10" s="2"/>
    </row>
    <row r="12" spans="1:10" ht="159.5" x14ac:dyDescent="0.35">
      <c r="A12" s="9" t="s">
        <v>2</v>
      </c>
      <c r="B12" s="9" t="s">
        <v>3</v>
      </c>
      <c r="C12" s="9" t="s">
        <v>93</v>
      </c>
      <c r="D12" s="9" t="s">
        <v>94</v>
      </c>
      <c r="E12" s="9" t="s">
        <v>95</v>
      </c>
      <c r="F12" s="9" t="s">
        <v>96</v>
      </c>
      <c r="G12" s="9" t="s">
        <v>435</v>
      </c>
      <c r="H12" s="9"/>
      <c r="I12" s="9"/>
      <c r="J12" s="9" t="s">
        <v>436</v>
      </c>
    </row>
    <row r="13" spans="1:10" ht="87" x14ac:dyDescent="0.35">
      <c r="A13" s="9"/>
      <c r="B13" s="9" t="s">
        <v>33</v>
      </c>
      <c r="C13" s="9" t="s">
        <v>97</v>
      </c>
      <c r="D13" s="9" t="s">
        <v>98</v>
      </c>
      <c r="E13" s="9" t="s">
        <v>99</v>
      </c>
      <c r="F13" s="9" t="s">
        <v>100</v>
      </c>
      <c r="G13" s="9" t="s">
        <v>437</v>
      </c>
      <c r="H13" s="9"/>
      <c r="I13" s="9"/>
      <c r="J13" s="9" t="s">
        <v>34</v>
      </c>
    </row>
    <row r="14" spans="1:10" ht="72.5" x14ac:dyDescent="0.35">
      <c r="A14" s="12">
        <v>1</v>
      </c>
      <c r="B14" s="11" t="s">
        <v>4</v>
      </c>
      <c r="C14" s="10" t="s">
        <v>101</v>
      </c>
      <c r="D14" s="10" t="s">
        <v>101</v>
      </c>
      <c r="E14" s="10" t="s">
        <v>101</v>
      </c>
      <c r="F14" s="10" t="s">
        <v>101</v>
      </c>
      <c r="G14" s="10" t="s">
        <v>101</v>
      </c>
      <c r="H14" s="10"/>
      <c r="I14" s="10"/>
      <c r="J14" s="13" t="s">
        <v>438</v>
      </c>
    </row>
    <row r="15" spans="1:10" ht="87" x14ac:dyDescent="0.35">
      <c r="A15" s="12">
        <v>2</v>
      </c>
      <c r="B15" s="11" t="s">
        <v>5</v>
      </c>
      <c r="C15" s="10" t="s">
        <v>102</v>
      </c>
      <c r="D15" s="10" t="s">
        <v>103</v>
      </c>
      <c r="E15" s="10" t="s">
        <v>103</v>
      </c>
      <c r="F15" s="10" t="s">
        <v>103</v>
      </c>
      <c r="G15" s="10" t="s">
        <v>103</v>
      </c>
      <c r="H15" s="10"/>
      <c r="I15" s="10"/>
      <c r="J15" s="13" t="s">
        <v>439</v>
      </c>
    </row>
    <row r="16" spans="1:10" ht="58" x14ac:dyDescent="0.35">
      <c r="A16" s="12">
        <v>3</v>
      </c>
      <c r="B16" s="11" t="s">
        <v>6</v>
      </c>
      <c r="C16" s="10" t="s">
        <v>103</v>
      </c>
      <c r="D16" s="10" t="s">
        <v>102</v>
      </c>
      <c r="E16" s="10" t="s">
        <v>102</v>
      </c>
      <c r="F16" s="10" t="s">
        <v>104</v>
      </c>
      <c r="G16" s="10" t="s">
        <v>105</v>
      </c>
      <c r="H16" s="10"/>
      <c r="I16" s="10"/>
      <c r="J16" s="13" t="s">
        <v>440</v>
      </c>
    </row>
    <row r="17" spans="1:10" ht="72.5" x14ac:dyDescent="0.35">
      <c r="A17" s="44">
        <v>4</v>
      </c>
      <c r="B17" s="45" t="s">
        <v>441</v>
      </c>
      <c r="C17" s="46" t="s">
        <v>105</v>
      </c>
      <c r="D17" s="46" t="s">
        <v>105</v>
      </c>
      <c r="E17" s="46" t="s">
        <v>105</v>
      </c>
      <c r="F17" s="46" t="s">
        <v>105</v>
      </c>
      <c r="G17" s="46" t="s">
        <v>102</v>
      </c>
      <c r="H17" s="46"/>
      <c r="I17" s="46"/>
      <c r="J17" s="45" t="s">
        <v>442</v>
      </c>
    </row>
    <row r="18" spans="1:10" ht="58" x14ac:dyDescent="0.35">
      <c r="A18" s="40">
        <v>5</v>
      </c>
      <c r="B18" s="41" t="s">
        <v>8</v>
      </c>
      <c r="C18" s="41" t="s">
        <v>106</v>
      </c>
      <c r="D18" s="41" t="s">
        <v>107</v>
      </c>
      <c r="E18" s="41" t="s">
        <v>108</v>
      </c>
      <c r="F18" s="41" t="s">
        <v>108</v>
      </c>
      <c r="G18" s="41" t="s">
        <v>108</v>
      </c>
      <c r="H18" s="41"/>
      <c r="I18" s="41"/>
      <c r="J18" s="41" t="s">
        <v>443</v>
      </c>
    </row>
    <row r="19" spans="1:10" ht="58" x14ac:dyDescent="0.35">
      <c r="A19" s="12">
        <v>6</v>
      </c>
      <c r="B19" s="11" t="s">
        <v>9</v>
      </c>
      <c r="C19" s="10" t="s">
        <v>109</v>
      </c>
      <c r="D19" s="10" t="s">
        <v>110</v>
      </c>
      <c r="E19" s="10" t="s">
        <v>34</v>
      </c>
      <c r="F19" s="10" t="s">
        <v>34</v>
      </c>
      <c r="G19" s="10" t="s">
        <v>116</v>
      </c>
      <c r="H19" s="10"/>
      <c r="I19" s="10"/>
      <c r="J19" s="13" t="s">
        <v>444</v>
      </c>
    </row>
    <row r="20" spans="1:10" ht="72.5" x14ac:dyDescent="0.35">
      <c r="A20" s="12">
        <v>7</v>
      </c>
      <c r="B20" s="11" t="s">
        <v>10</v>
      </c>
      <c r="C20" s="10" t="s">
        <v>107</v>
      </c>
      <c r="D20" s="10" t="s">
        <v>108</v>
      </c>
      <c r="E20" s="10" t="s">
        <v>34</v>
      </c>
      <c r="F20" s="10" t="s">
        <v>34</v>
      </c>
      <c r="G20" s="10" t="s">
        <v>113</v>
      </c>
      <c r="H20" s="10"/>
      <c r="I20" s="10"/>
      <c r="J20" s="13" t="s">
        <v>445</v>
      </c>
    </row>
    <row r="21" spans="1:10" ht="58" x14ac:dyDescent="0.35">
      <c r="A21" s="44">
        <v>8</v>
      </c>
      <c r="B21" s="45" t="s">
        <v>446</v>
      </c>
      <c r="C21" s="46" t="s">
        <v>111</v>
      </c>
      <c r="D21" s="46" t="s">
        <v>111</v>
      </c>
      <c r="E21" s="46" t="s">
        <v>34</v>
      </c>
      <c r="F21" s="46" t="s">
        <v>34</v>
      </c>
      <c r="G21" s="46" t="s">
        <v>107</v>
      </c>
      <c r="H21" s="46"/>
      <c r="I21" s="46"/>
      <c r="J21" s="45" t="s">
        <v>447</v>
      </c>
    </row>
    <row r="22" spans="1:10" ht="87" x14ac:dyDescent="0.35">
      <c r="A22" s="12">
        <v>9</v>
      </c>
      <c r="B22" s="11" t="s">
        <v>12</v>
      </c>
      <c r="C22" s="10" t="s">
        <v>112</v>
      </c>
      <c r="D22" s="10" t="s">
        <v>113</v>
      </c>
      <c r="E22" s="10" t="s">
        <v>34</v>
      </c>
      <c r="F22" s="10" t="s">
        <v>34</v>
      </c>
      <c r="G22" s="10" t="s">
        <v>111</v>
      </c>
      <c r="H22" s="10"/>
      <c r="I22" s="10"/>
      <c r="J22" s="13" t="s">
        <v>448</v>
      </c>
    </row>
    <row r="23" spans="1:10" ht="58" x14ac:dyDescent="0.35">
      <c r="A23" s="42">
        <v>10</v>
      </c>
      <c r="B23" s="43" t="s">
        <v>114</v>
      </c>
      <c r="C23" s="43" t="s">
        <v>104</v>
      </c>
      <c r="D23" s="43" t="s">
        <v>106</v>
      </c>
      <c r="E23" s="43" t="s">
        <v>106</v>
      </c>
      <c r="F23" s="43" t="s">
        <v>115</v>
      </c>
      <c r="G23" s="43" t="s">
        <v>112</v>
      </c>
      <c r="H23" s="43"/>
      <c r="I23" s="43"/>
      <c r="J23" s="43" t="s">
        <v>449</v>
      </c>
    </row>
    <row r="24" spans="1:10" ht="58" x14ac:dyDescent="0.35">
      <c r="A24" s="12">
        <v>11</v>
      </c>
      <c r="B24" s="11" t="s">
        <v>14</v>
      </c>
      <c r="C24" s="10" t="s">
        <v>116</v>
      </c>
      <c r="D24" s="10" t="s">
        <v>116</v>
      </c>
      <c r="E24" s="10" t="s">
        <v>34</v>
      </c>
      <c r="F24" s="10" t="s">
        <v>34</v>
      </c>
      <c r="G24" s="10" t="s">
        <v>106</v>
      </c>
      <c r="H24" s="10"/>
      <c r="I24" s="10"/>
      <c r="J24" s="13" t="s">
        <v>450</v>
      </c>
    </row>
    <row r="25" spans="1:10" ht="72.5" x14ac:dyDescent="0.35">
      <c r="A25" s="12">
        <v>12</v>
      </c>
      <c r="B25" s="11" t="s">
        <v>15</v>
      </c>
      <c r="C25" s="10" t="s">
        <v>110</v>
      </c>
      <c r="D25" s="10" t="s">
        <v>117</v>
      </c>
      <c r="E25" s="10" t="s">
        <v>34</v>
      </c>
      <c r="F25" s="10" t="s">
        <v>34</v>
      </c>
      <c r="G25" s="10" t="s">
        <v>117</v>
      </c>
      <c r="H25" s="10"/>
      <c r="I25" s="10"/>
      <c r="J25" s="13" t="s">
        <v>451</v>
      </c>
    </row>
    <row r="26" spans="1:10" ht="72.5" x14ac:dyDescent="0.35">
      <c r="A26" s="12">
        <v>13</v>
      </c>
      <c r="B26" s="11" t="s">
        <v>35</v>
      </c>
      <c r="C26" s="10" t="s">
        <v>118</v>
      </c>
      <c r="D26" s="10" t="s">
        <v>118</v>
      </c>
      <c r="E26" s="10" t="s">
        <v>34</v>
      </c>
      <c r="F26" s="10" t="s">
        <v>34</v>
      </c>
      <c r="G26" s="10" t="s">
        <v>118</v>
      </c>
      <c r="H26" s="10"/>
      <c r="I26" s="10"/>
      <c r="J26" s="13" t="s">
        <v>452</v>
      </c>
    </row>
    <row r="27" spans="1:10" ht="101.5" x14ac:dyDescent="0.35">
      <c r="A27" s="12">
        <v>14</v>
      </c>
      <c r="B27" s="11" t="s">
        <v>17</v>
      </c>
      <c r="C27" s="10" t="s">
        <v>119</v>
      </c>
      <c r="D27" s="10" t="s">
        <v>120</v>
      </c>
      <c r="E27" s="10" t="s">
        <v>34</v>
      </c>
      <c r="F27" s="10" t="s">
        <v>34</v>
      </c>
      <c r="G27" s="10" t="s">
        <v>453</v>
      </c>
      <c r="H27" s="10"/>
      <c r="I27" s="10"/>
      <c r="J27" s="13" t="s">
        <v>454</v>
      </c>
    </row>
    <row r="28" spans="1:10" ht="58" x14ac:dyDescent="0.35">
      <c r="A28" s="12">
        <v>15</v>
      </c>
      <c r="B28" s="11" t="s">
        <v>18</v>
      </c>
      <c r="C28" s="10" t="s">
        <v>121</v>
      </c>
      <c r="D28" s="10" t="s">
        <v>121</v>
      </c>
      <c r="E28" s="10" t="s">
        <v>34</v>
      </c>
      <c r="F28" s="10" t="s">
        <v>34</v>
      </c>
      <c r="G28" s="10" t="s">
        <v>120</v>
      </c>
      <c r="H28" s="10"/>
      <c r="I28" s="10"/>
      <c r="J28" s="13" t="s">
        <v>455</v>
      </c>
    </row>
    <row r="29" spans="1:10" ht="87" x14ac:dyDescent="0.35">
      <c r="A29" s="12">
        <v>16</v>
      </c>
      <c r="B29" s="11" t="s">
        <v>19</v>
      </c>
      <c r="C29" s="10" t="s">
        <v>122</v>
      </c>
      <c r="D29" s="10" t="s">
        <v>104</v>
      </c>
      <c r="E29" s="10" t="s">
        <v>34</v>
      </c>
      <c r="F29" s="10" t="s">
        <v>34</v>
      </c>
      <c r="G29" s="10" t="s">
        <v>122</v>
      </c>
      <c r="H29" s="10"/>
      <c r="I29" s="10"/>
      <c r="J29" s="13" t="s">
        <v>456</v>
      </c>
    </row>
    <row r="30" spans="1:10" ht="72.5" x14ac:dyDescent="0.35">
      <c r="A30" s="12">
        <v>17</v>
      </c>
      <c r="B30" s="11" t="s">
        <v>20</v>
      </c>
      <c r="C30" s="10" t="s">
        <v>123</v>
      </c>
      <c r="D30" s="10" t="s">
        <v>123</v>
      </c>
      <c r="E30" s="10" t="s">
        <v>34</v>
      </c>
      <c r="F30" s="10" t="s">
        <v>34</v>
      </c>
      <c r="G30" s="10" t="s">
        <v>123</v>
      </c>
      <c r="H30" s="10"/>
      <c r="I30" s="10"/>
      <c r="J30" s="13" t="s">
        <v>457</v>
      </c>
    </row>
    <row r="31" spans="1:10" ht="101.5" x14ac:dyDescent="0.35">
      <c r="A31" s="12">
        <v>18</v>
      </c>
      <c r="B31" s="11" t="s">
        <v>21</v>
      </c>
      <c r="C31" s="10" t="s">
        <v>124</v>
      </c>
      <c r="D31" s="10" t="s">
        <v>124</v>
      </c>
      <c r="E31" s="10" t="s">
        <v>34</v>
      </c>
      <c r="F31" s="10" t="s">
        <v>34</v>
      </c>
      <c r="G31" s="10" t="s">
        <v>125</v>
      </c>
      <c r="H31" s="10"/>
      <c r="I31" s="10"/>
      <c r="J31" s="13" t="s">
        <v>458</v>
      </c>
    </row>
    <row r="32" spans="1:10" ht="58" x14ac:dyDescent="0.35">
      <c r="A32" s="12">
        <v>19</v>
      </c>
      <c r="B32" s="11" t="s">
        <v>22</v>
      </c>
      <c r="C32" s="10" t="s">
        <v>125</v>
      </c>
      <c r="D32" s="10" t="s">
        <v>119</v>
      </c>
      <c r="E32" s="10" t="s">
        <v>34</v>
      </c>
      <c r="F32" s="10" t="s">
        <v>34</v>
      </c>
      <c r="G32" s="10" t="s">
        <v>119</v>
      </c>
      <c r="H32" s="10"/>
      <c r="I32" s="10"/>
      <c r="J32" s="13" t="s">
        <v>459</v>
      </c>
    </row>
    <row r="33" spans="1:10" ht="72.5" x14ac:dyDescent="0.35">
      <c r="A33" s="12">
        <v>20</v>
      </c>
      <c r="B33" s="11" t="s">
        <v>37</v>
      </c>
      <c r="C33" s="10" t="s">
        <v>460</v>
      </c>
      <c r="D33" s="10" t="s">
        <v>461</v>
      </c>
      <c r="E33" s="10" t="s">
        <v>34</v>
      </c>
      <c r="F33" s="10" t="s">
        <v>34</v>
      </c>
      <c r="G33" s="10" t="s">
        <v>462</v>
      </c>
      <c r="H33" s="10"/>
      <c r="I33" s="10"/>
      <c r="J33" s="13" t="s">
        <v>463</v>
      </c>
    </row>
    <row r="34" spans="1:10" ht="101.5" x14ac:dyDescent="0.35">
      <c r="A34" s="12">
        <v>21</v>
      </c>
      <c r="B34" s="11" t="s">
        <v>23</v>
      </c>
      <c r="C34" s="10" t="s">
        <v>122</v>
      </c>
      <c r="D34" s="10" t="s">
        <v>112</v>
      </c>
      <c r="E34" s="10" t="s">
        <v>34</v>
      </c>
      <c r="F34" s="10" t="s">
        <v>34</v>
      </c>
      <c r="G34" s="10" t="s">
        <v>131</v>
      </c>
      <c r="H34" s="10"/>
      <c r="I34" s="10"/>
      <c r="J34" s="13" t="s">
        <v>464</v>
      </c>
    </row>
    <row r="35" spans="1:10" ht="72.5" x14ac:dyDescent="0.35">
      <c r="A35" s="12">
        <v>22</v>
      </c>
      <c r="B35" s="11" t="s">
        <v>24</v>
      </c>
      <c r="C35" s="10" t="s">
        <v>127</v>
      </c>
      <c r="D35" s="10" t="s">
        <v>128</v>
      </c>
      <c r="E35" s="10" t="s">
        <v>34</v>
      </c>
      <c r="F35" s="10" t="s">
        <v>34</v>
      </c>
      <c r="G35" s="10" t="s">
        <v>465</v>
      </c>
      <c r="H35" s="10"/>
      <c r="I35" s="10"/>
      <c r="J35" s="13" t="s">
        <v>466</v>
      </c>
    </row>
    <row r="36" spans="1:10" ht="87" x14ac:dyDescent="0.35">
      <c r="A36" s="12">
        <v>23</v>
      </c>
      <c r="B36" s="11" t="s">
        <v>25</v>
      </c>
      <c r="C36" s="10" t="s">
        <v>42</v>
      </c>
      <c r="D36" s="10" t="s">
        <v>129</v>
      </c>
      <c r="E36" s="10" t="s">
        <v>34</v>
      </c>
      <c r="F36" s="10" t="s">
        <v>34</v>
      </c>
      <c r="G36" s="10" t="s">
        <v>134</v>
      </c>
      <c r="H36" s="10"/>
      <c r="I36" s="10"/>
      <c r="J36" s="13" t="s">
        <v>467</v>
      </c>
    </row>
    <row r="37" spans="1:10" ht="72.5" x14ac:dyDescent="0.35">
      <c r="A37" s="12">
        <v>24</v>
      </c>
      <c r="B37" s="11" t="s">
        <v>38</v>
      </c>
      <c r="C37" s="10" t="s">
        <v>130</v>
      </c>
      <c r="D37" s="10" t="s">
        <v>131</v>
      </c>
      <c r="E37" s="10" t="s">
        <v>34</v>
      </c>
      <c r="F37" s="10" t="s">
        <v>34</v>
      </c>
      <c r="G37" s="10" t="s">
        <v>468</v>
      </c>
      <c r="H37" s="10"/>
      <c r="I37" s="10"/>
      <c r="J37" s="13" t="s">
        <v>469</v>
      </c>
    </row>
    <row r="38" spans="1:10" ht="87" x14ac:dyDescent="0.35">
      <c r="A38" s="12">
        <v>25</v>
      </c>
      <c r="B38" s="11" t="s">
        <v>26</v>
      </c>
      <c r="C38" s="10" t="s">
        <v>132</v>
      </c>
      <c r="D38" s="10" t="s">
        <v>125</v>
      </c>
      <c r="E38" s="10" t="s">
        <v>34</v>
      </c>
      <c r="F38" s="10" t="s">
        <v>470</v>
      </c>
      <c r="G38" s="10" t="s">
        <v>121</v>
      </c>
      <c r="H38" s="10"/>
      <c r="I38" s="10"/>
      <c r="J38" s="13" t="s">
        <v>471</v>
      </c>
    </row>
    <row r="39" spans="1:10" ht="72.5" x14ac:dyDescent="0.35">
      <c r="A39" s="12">
        <v>26</v>
      </c>
      <c r="B39" s="11" t="s">
        <v>27</v>
      </c>
      <c r="C39" s="10" t="s">
        <v>126</v>
      </c>
      <c r="D39" s="10" t="s">
        <v>133</v>
      </c>
      <c r="E39" s="10" t="s">
        <v>34</v>
      </c>
      <c r="F39" s="10" t="s">
        <v>34</v>
      </c>
      <c r="G39" s="10" t="s">
        <v>124</v>
      </c>
      <c r="H39" s="10"/>
      <c r="I39" s="10"/>
      <c r="J39" s="13" t="s">
        <v>472</v>
      </c>
    </row>
    <row r="40" spans="1:10" ht="58" x14ac:dyDescent="0.35">
      <c r="A40" s="12">
        <v>27</v>
      </c>
      <c r="B40" s="11" t="s">
        <v>28</v>
      </c>
      <c r="C40" s="10" t="s">
        <v>134</v>
      </c>
      <c r="D40" s="10" t="s">
        <v>122</v>
      </c>
      <c r="E40" s="10" t="s">
        <v>34</v>
      </c>
      <c r="F40" s="10" t="s">
        <v>34</v>
      </c>
      <c r="G40" s="10" t="s">
        <v>129</v>
      </c>
      <c r="H40" s="10"/>
      <c r="I40" s="10"/>
      <c r="J40" s="13" t="s">
        <v>473</v>
      </c>
    </row>
    <row r="41" spans="1:10" ht="72.5" x14ac:dyDescent="0.35">
      <c r="A41" s="44">
        <v>28</v>
      </c>
      <c r="B41" s="45" t="s">
        <v>474</v>
      </c>
      <c r="C41" s="46" t="s">
        <v>135</v>
      </c>
      <c r="D41" s="46" t="s">
        <v>134</v>
      </c>
      <c r="E41" s="46" t="s">
        <v>34</v>
      </c>
      <c r="F41" s="46" t="s">
        <v>34</v>
      </c>
      <c r="G41" s="46" t="s">
        <v>127</v>
      </c>
      <c r="H41" s="46"/>
      <c r="I41" s="46"/>
      <c r="J41" s="45" t="s">
        <v>475</v>
      </c>
    </row>
    <row r="42" spans="1:10" ht="58" x14ac:dyDescent="0.35">
      <c r="A42" s="12">
        <v>29</v>
      </c>
      <c r="B42" s="11" t="s">
        <v>39</v>
      </c>
      <c r="C42" s="10" t="s">
        <v>136</v>
      </c>
      <c r="D42" s="10" t="s">
        <v>137</v>
      </c>
      <c r="E42" s="10" t="s">
        <v>34</v>
      </c>
      <c r="F42" s="10" t="s">
        <v>34</v>
      </c>
      <c r="G42" s="10" t="s">
        <v>36</v>
      </c>
      <c r="H42" s="10"/>
      <c r="I42" s="10"/>
      <c r="J42" s="13" t="s">
        <v>476</v>
      </c>
    </row>
    <row r="43" spans="1:10" ht="145" x14ac:dyDescent="0.35">
      <c r="A43" s="12">
        <v>30</v>
      </c>
      <c r="B43" s="11" t="s">
        <v>40</v>
      </c>
      <c r="C43" s="10" t="s">
        <v>138</v>
      </c>
      <c r="D43" s="10" t="s">
        <v>127</v>
      </c>
      <c r="E43" s="10" t="s">
        <v>34</v>
      </c>
      <c r="F43" s="10" t="s">
        <v>34</v>
      </c>
      <c r="G43" s="10" t="s">
        <v>139</v>
      </c>
      <c r="H43" s="10"/>
      <c r="I43" s="10"/>
      <c r="J43" s="13" t="s">
        <v>477</v>
      </c>
    </row>
    <row r="44" spans="1:10" ht="87" x14ac:dyDescent="0.35">
      <c r="A44" s="12">
        <v>31</v>
      </c>
      <c r="B44" s="11" t="s">
        <v>30</v>
      </c>
      <c r="C44" s="10" t="s">
        <v>121</v>
      </c>
      <c r="D44" s="10" t="s">
        <v>139</v>
      </c>
      <c r="E44" s="10" t="s">
        <v>34</v>
      </c>
      <c r="F44" s="10" t="s">
        <v>34</v>
      </c>
      <c r="G44" s="10" t="s">
        <v>478</v>
      </c>
      <c r="H44" s="10"/>
      <c r="I44" s="10"/>
      <c r="J44" s="13" t="s">
        <v>479</v>
      </c>
    </row>
    <row r="45" spans="1:10" ht="101.5" x14ac:dyDescent="0.35">
      <c r="A45" s="12">
        <v>32</v>
      </c>
      <c r="B45" s="11" t="s">
        <v>31</v>
      </c>
      <c r="C45" s="10" t="s">
        <v>140</v>
      </c>
      <c r="D45" s="10" t="s">
        <v>136</v>
      </c>
      <c r="E45" s="10" t="s">
        <v>34</v>
      </c>
      <c r="F45" s="10" t="s">
        <v>34</v>
      </c>
      <c r="G45" s="10" t="s">
        <v>480</v>
      </c>
      <c r="H45" s="10"/>
      <c r="I45" s="10"/>
      <c r="J45" s="13" t="s">
        <v>481</v>
      </c>
    </row>
  </sheetData>
  <mergeCells count="3">
    <mergeCell ref="A1:J1"/>
    <mergeCell ref="A2:J2"/>
    <mergeCell ref="A10:J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E3B83-1FFD-4670-A009-F018C2BE9273}">
  <dimension ref="A1:H39"/>
  <sheetViews>
    <sheetView topLeftCell="H1" workbookViewId="0">
      <pane ySplit="4" topLeftCell="A10" activePane="bottomLeft" state="frozen"/>
      <selection pane="bottomLeft" activeCell="J45" sqref="J45"/>
    </sheetView>
  </sheetViews>
  <sheetFormatPr defaultRowHeight="14.5" x14ac:dyDescent="0.35"/>
  <cols>
    <col min="1" max="1" width="7.26953125" customWidth="1"/>
    <col min="2" max="2" width="40" customWidth="1"/>
    <col min="3" max="4" width="27.26953125" customWidth="1"/>
    <col min="5" max="5" width="40" customWidth="1"/>
    <col min="6" max="6" width="36.36328125" customWidth="1"/>
    <col min="7" max="7" width="25.453125" customWidth="1"/>
    <col min="8" max="8" width="72.7265625" customWidth="1"/>
    <col min="9" max="9" width="38.1796875" customWidth="1"/>
    <col min="10" max="10" width="20" customWidth="1"/>
    <col min="11" max="11" width="16.36328125" customWidth="1"/>
    <col min="12" max="12" width="41.81640625" customWidth="1"/>
  </cols>
  <sheetData>
    <row r="1" spans="1:8" ht="28" customHeight="1" x14ac:dyDescent="0.4">
      <c r="A1" s="3" t="s">
        <v>482</v>
      </c>
      <c r="B1" s="2"/>
      <c r="C1" s="2"/>
      <c r="D1" s="2"/>
      <c r="E1" s="2"/>
      <c r="F1" s="2"/>
      <c r="G1" s="2"/>
      <c r="H1" s="2"/>
    </row>
    <row r="2" spans="1:8" x14ac:dyDescent="0.35">
      <c r="A2" s="17" t="s">
        <v>483</v>
      </c>
      <c r="B2" s="2"/>
      <c r="C2" s="2"/>
      <c r="D2" s="2"/>
      <c r="E2" s="2"/>
      <c r="F2" s="2"/>
      <c r="G2" s="2"/>
      <c r="H2" s="2"/>
    </row>
    <row r="4" spans="1:8" ht="16" x14ac:dyDescent="0.4">
      <c r="A4" s="18" t="s">
        <v>141</v>
      </c>
      <c r="B4" s="2"/>
      <c r="C4" s="2"/>
      <c r="D4" s="2"/>
      <c r="E4" s="2"/>
      <c r="F4" s="2"/>
      <c r="G4" s="2"/>
      <c r="H4" s="2"/>
    </row>
    <row r="5" spans="1:8" x14ac:dyDescent="0.35">
      <c r="A5" s="5" t="s">
        <v>43</v>
      </c>
      <c r="B5" s="5" t="s">
        <v>142</v>
      </c>
      <c r="C5" s="5" t="s">
        <v>143</v>
      </c>
      <c r="D5" s="5" t="s">
        <v>144</v>
      </c>
      <c r="E5" s="5" t="s">
        <v>145</v>
      </c>
      <c r="F5" s="5" t="s">
        <v>146</v>
      </c>
      <c r="G5" s="5" t="s">
        <v>147</v>
      </c>
      <c r="H5" s="5" t="s">
        <v>148</v>
      </c>
    </row>
    <row r="6" spans="1:8" ht="43.5" x14ac:dyDescent="0.35">
      <c r="A6" s="20" t="s">
        <v>149</v>
      </c>
      <c r="B6" s="19" t="s">
        <v>150</v>
      </c>
      <c r="C6" s="19" t="s">
        <v>8</v>
      </c>
      <c r="D6" s="19" t="s">
        <v>13</v>
      </c>
      <c r="E6" s="19" t="s">
        <v>151</v>
      </c>
      <c r="F6" s="19" t="s">
        <v>152</v>
      </c>
      <c r="G6" s="19" t="s">
        <v>153</v>
      </c>
      <c r="H6" s="19" t="s">
        <v>154</v>
      </c>
    </row>
    <row r="8" spans="1:8" ht="16" x14ac:dyDescent="0.4">
      <c r="A8" s="8" t="s">
        <v>155</v>
      </c>
      <c r="B8" s="2"/>
      <c r="C8" s="2"/>
      <c r="D8" s="2"/>
      <c r="E8" s="2"/>
      <c r="F8" s="2"/>
      <c r="G8" s="2"/>
      <c r="H8" s="2"/>
    </row>
    <row r="9" spans="1:8" x14ac:dyDescent="0.35">
      <c r="A9" s="5" t="s">
        <v>43</v>
      </c>
      <c r="B9" s="5" t="s">
        <v>156</v>
      </c>
      <c r="C9" s="5" t="s">
        <v>45</v>
      </c>
      <c r="D9" s="5" t="s">
        <v>46</v>
      </c>
      <c r="E9" s="5" t="s">
        <v>47</v>
      </c>
      <c r="F9" s="5" t="s">
        <v>157</v>
      </c>
      <c r="G9" s="5" t="s">
        <v>158</v>
      </c>
      <c r="H9" s="5" t="s">
        <v>159</v>
      </c>
    </row>
    <row r="10" spans="1:8" ht="58" x14ac:dyDescent="0.35">
      <c r="A10" s="1">
        <v>1</v>
      </c>
      <c r="B10" s="1" t="s">
        <v>160</v>
      </c>
      <c r="C10" s="1" t="s">
        <v>26</v>
      </c>
      <c r="D10" s="1" t="s">
        <v>8</v>
      </c>
      <c r="E10" s="1" t="s">
        <v>161</v>
      </c>
      <c r="F10" s="1" t="s">
        <v>162</v>
      </c>
      <c r="G10" s="1" t="s">
        <v>163</v>
      </c>
      <c r="H10" s="1" t="s">
        <v>164</v>
      </c>
    </row>
    <row r="11" spans="1:8" ht="58" x14ac:dyDescent="0.35">
      <c r="A11" s="1">
        <v>2</v>
      </c>
      <c r="B11" s="1" t="s">
        <v>165</v>
      </c>
      <c r="C11" s="1" t="s">
        <v>166</v>
      </c>
      <c r="D11" s="1" t="s">
        <v>9</v>
      </c>
      <c r="E11" s="1" t="s">
        <v>167</v>
      </c>
      <c r="F11" s="1" t="s">
        <v>168</v>
      </c>
      <c r="G11" s="1" t="s">
        <v>169</v>
      </c>
      <c r="H11" s="1" t="s">
        <v>170</v>
      </c>
    </row>
    <row r="12" spans="1:8" ht="29" x14ac:dyDescent="0.35">
      <c r="A12" s="1">
        <v>3</v>
      </c>
      <c r="B12" s="1" t="s">
        <v>171</v>
      </c>
      <c r="C12" s="1" t="s">
        <v>172</v>
      </c>
      <c r="D12" s="1" t="s">
        <v>172</v>
      </c>
      <c r="E12" s="1" t="s">
        <v>173</v>
      </c>
      <c r="F12" s="1" t="s">
        <v>174</v>
      </c>
      <c r="G12" s="1" t="s">
        <v>175</v>
      </c>
      <c r="H12" s="1" t="s">
        <v>176</v>
      </c>
    </row>
    <row r="13" spans="1:8" ht="29" x14ac:dyDescent="0.35">
      <c r="A13" s="1">
        <v>4</v>
      </c>
      <c r="B13" s="1" t="s">
        <v>177</v>
      </c>
      <c r="C13" s="1" t="s">
        <v>172</v>
      </c>
      <c r="D13" s="1" t="s">
        <v>172</v>
      </c>
      <c r="E13" s="1" t="s">
        <v>178</v>
      </c>
      <c r="F13" s="1" t="s">
        <v>174</v>
      </c>
      <c r="G13" s="1" t="s">
        <v>175</v>
      </c>
      <c r="H13" s="1" t="s">
        <v>179</v>
      </c>
    </row>
    <row r="14" spans="1:8" ht="43.5" x14ac:dyDescent="0.35">
      <c r="A14" s="1">
        <v>5</v>
      </c>
      <c r="B14" s="1" t="s">
        <v>180</v>
      </c>
      <c r="C14" s="1" t="s">
        <v>34</v>
      </c>
      <c r="D14" s="1" t="s">
        <v>34</v>
      </c>
      <c r="E14" s="1" t="s">
        <v>34</v>
      </c>
      <c r="F14" s="1" t="s">
        <v>34</v>
      </c>
      <c r="G14" s="1" t="s">
        <v>34</v>
      </c>
      <c r="H14" s="1" t="s">
        <v>181</v>
      </c>
    </row>
    <row r="16" spans="1:8" x14ac:dyDescent="0.35">
      <c r="A16" s="21" t="s">
        <v>182</v>
      </c>
      <c r="B16" s="2"/>
      <c r="C16" s="2"/>
      <c r="D16" s="2"/>
      <c r="E16" s="2"/>
      <c r="F16" s="2"/>
      <c r="G16" s="2"/>
      <c r="H16" s="2"/>
    </row>
    <row r="17" spans="1:8" x14ac:dyDescent="0.35">
      <c r="A17" s="22" t="s">
        <v>43</v>
      </c>
      <c r="B17" s="22" t="s">
        <v>44</v>
      </c>
      <c r="C17" s="22" t="s">
        <v>183</v>
      </c>
      <c r="D17" s="22" t="s">
        <v>184</v>
      </c>
      <c r="E17" s="22" t="s">
        <v>185</v>
      </c>
      <c r="F17" s="22" t="s">
        <v>186</v>
      </c>
      <c r="G17" s="22"/>
      <c r="H17" s="22"/>
    </row>
    <row r="18" spans="1:8" ht="29" x14ac:dyDescent="0.35">
      <c r="A18" s="24" t="s">
        <v>187</v>
      </c>
      <c r="B18" s="24" t="s">
        <v>188</v>
      </c>
      <c r="C18" s="24" t="s">
        <v>189</v>
      </c>
      <c r="D18" s="24" t="s">
        <v>13</v>
      </c>
      <c r="E18" s="24" t="s">
        <v>190</v>
      </c>
      <c r="F18" s="24" t="s">
        <v>191</v>
      </c>
      <c r="G18" s="24"/>
      <c r="H18" s="24"/>
    </row>
    <row r="19" spans="1:8" x14ac:dyDescent="0.35">
      <c r="A19" s="23" t="s">
        <v>192</v>
      </c>
      <c r="B19" s="23" t="s">
        <v>193</v>
      </c>
      <c r="C19" s="23" t="s">
        <v>16</v>
      </c>
      <c r="D19" s="23" t="s">
        <v>59</v>
      </c>
      <c r="E19" s="23" t="s">
        <v>194</v>
      </c>
      <c r="F19" s="23" t="s">
        <v>71</v>
      </c>
      <c r="G19" s="23"/>
      <c r="H19" s="23"/>
    </row>
    <row r="20" spans="1:8" x14ac:dyDescent="0.35">
      <c r="A20" s="23" t="s">
        <v>195</v>
      </c>
      <c r="B20" s="23" t="s">
        <v>196</v>
      </c>
      <c r="C20" s="23" t="s">
        <v>5</v>
      </c>
      <c r="D20" s="23" t="s">
        <v>197</v>
      </c>
      <c r="E20" s="23" t="s">
        <v>70</v>
      </c>
      <c r="F20" s="23" t="s">
        <v>71</v>
      </c>
      <c r="G20" s="23"/>
      <c r="H20" s="23"/>
    </row>
    <row r="21" spans="1:8" x14ac:dyDescent="0.35">
      <c r="A21" s="23" t="s">
        <v>198</v>
      </c>
      <c r="B21" s="23" t="s">
        <v>199</v>
      </c>
      <c r="C21" s="23" t="s">
        <v>15</v>
      </c>
      <c r="D21" s="23" t="s">
        <v>65</v>
      </c>
      <c r="E21" s="23" t="s">
        <v>73</v>
      </c>
      <c r="F21" s="23" t="s">
        <v>71</v>
      </c>
      <c r="G21" s="23"/>
      <c r="H21" s="23"/>
    </row>
    <row r="22" spans="1:8" x14ac:dyDescent="0.35">
      <c r="A22" s="23" t="s">
        <v>200</v>
      </c>
      <c r="B22" s="23" t="s">
        <v>201</v>
      </c>
      <c r="C22" s="23" t="s">
        <v>9</v>
      </c>
      <c r="D22" s="23" t="s">
        <v>202</v>
      </c>
      <c r="E22" s="23" t="s">
        <v>75</v>
      </c>
      <c r="F22" s="23" t="s">
        <v>71</v>
      </c>
      <c r="G22" s="23"/>
      <c r="H22" s="23"/>
    </row>
    <row r="23" spans="1:8" x14ac:dyDescent="0.35">
      <c r="A23" s="23" t="s">
        <v>203</v>
      </c>
      <c r="B23" s="23" t="s">
        <v>204</v>
      </c>
      <c r="C23" s="23" t="s">
        <v>12</v>
      </c>
      <c r="D23" s="23" t="s">
        <v>16</v>
      </c>
      <c r="E23" s="23" t="s">
        <v>77</v>
      </c>
      <c r="F23" s="23" t="s">
        <v>71</v>
      </c>
      <c r="G23" s="23"/>
      <c r="H23" s="23"/>
    </row>
    <row r="24" spans="1:8" x14ac:dyDescent="0.35">
      <c r="A24" s="23" t="s">
        <v>205</v>
      </c>
      <c r="B24" s="23" t="s">
        <v>206</v>
      </c>
      <c r="C24" s="23" t="s">
        <v>14</v>
      </c>
      <c r="D24" s="23" t="s">
        <v>207</v>
      </c>
      <c r="E24" s="23" t="s">
        <v>208</v>
      </c>
      <c r="F24" s="23" t="s">
        <v>71</v>
      </c>
      <c r="G24" s="23"/>
      <c r="H24" s="23"/>
    </row>
    <row r="26" spans="1:8" x14ac:dyDescent="0.35">
      <c r="A26" s="26" t="s">
        <v>484</v>
      </c>
      <c r="B26" s="25"/>
      <c r="C26" s="25"/>
      <c r="D26" s="25"/>
      <c r="E26" s="25"/>
      <c r="F26" s="25"/>
      <c r="G26" s="25"/>
      <c r="H26" s="25"/>
    </row>
    <row r="27" spans="1:8" x14ac:dyDescent="0.35">
      <c r="A27" s="27" t="s">
        <v>485</v>
      </c>
      <c r="B27" s="28">
        <f ca="1">ROUND((NOW()-DATE(2026,4,18)-TIME(21,18,0))*24+7,1)</f>
        <v>30.5</v>
      </c>
    </row>
    <row r="28" spans="1:8" x14ac:dyDescent="0.35">
      <c r="A28" s="27" t="s">
        <v>209</v>
      </c>
      <c r="B28" s="29">
        <f>COUNTA(Sheet1!C14:G14)</f>
        <v>5</v>
      </c>
    </row>
    <row r="29" spans="1:8" x14ac:dyDescent="0.35">
      <c r="A29" s="27" t="s">
        <v>486</v>
      </c>
      <c r="B29" s="29">
        <f>COUNTIF(Sheet1!C18:G18,"*Downs*")+COUNTIF(Sheet1!C23:G23,"*Downs*")</f>
        <v>3</v>
      </c>
    </row>
    <row r="30" spans="1:8" x14ac:dyDescent="0.35">
      <c r="A30" s="27" t="s">
        <v>487</v>
      </c>
      <c r="B30" s="29">
        <f>COUNTIF(Sheet1!C18:G18,"*Styles*")</f>
        <v>3</v>
      </c>
    </row>
    <row r="31" spans="1:8" x14ac:dyDescent="0.35">
      <c r="A31" s="27" t="s">
        <v>488</v>
      </c>
      <c r="B31" s="29">
        <f>COUNTIF(Sheet1!C18:G18,"*Tate*")</f>
        <v>1</v>
      </c>
    </row>
    <row r="32" spans="1:8" x14ac:dyDescent="0.35">
      <c r="A32" s="27" t="s">
        <v>210</v>
      </c>
      <c r="B32" s="29">
        <f>COUNTIF(Sheet1!C23:G23,"*TRADE DOWN*")</f>
        <v>1</v>
      </c>
    </row>
    <row r="33" spans="1:2" x14ac:dyDescent="0.35">
      <c r="A33" s="27" t="s">
        <v>489</v>
      </c>
      <c r="B33" s="29" t="s">
        <v>490</v>
      </c>
    </row>
    <row r="34" spans="1:2" x14ac:dyDescent="0.35">
      <c r="A34" s="27" t="s">
        <v>491</v>
      </c>
      <c r="B34" s="29" t="s">
        <v>492</v>
      </c>
    </row>
    <row r="35" spans="1:2" x14ac:dyDescent="0.35">
      <c r="A35" s="27" t="s">
        <v>493</v>
      </c>
      <c r="B35" t="s">
        <v>494</v>
      </c>
    </row>
    <row r="36" spans="1:2" x14ac:dyDescent="0.35">
      <c r="A36" s="27" t="s">
        <v>495</v>
      </c>
      <c r="B36" s="29" t="s">
        <v>496</v>
      </c>
    </row>
    <row r="37" spans="1:2" x14ac:dyDescent="0.35">
      <c r="A37" s="27" t="s">
        <v>497</v>
      </c>
      <c r="B37" s="29" t="s">
        <v>498</v>
      </c>
    </row>
    <row r="38" spans="1:2" x14ac:dyDescent="0.35">
      <c r="A38" s="27" t="s">
        <v>499</v>
      </c>
      <c r="B38" s="29" t="s">
        <v>500</v>
      </c>
    </row>
    <row r="39" spans="1:2" x14ac:dyDescent="0.35">
      <c r="A39" s="27" t="s">
        <v>501</v>
      </c>
      <c r="B39" s="29" t="s">
        <v>502</v>
      </c>
    </row>
  </sheetData>
  <mergeCells count="6">
    <mergeCell ref="A1:H1"/>
    <mergeCell ref="A2:H2"/>
    <mergeCell ref="A4:H4"/>
    <mergeCell ref="A8:H8"/>
    <mergeCell ref="A16:H16"/>
    <mergeCell ref="A26:H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68317-EE47-4FA6-B280-9C61F18B44C7}">
  <dimension ref="A1:H73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H7" sqref="H7"/>
    </sheetView>
  </sheetViews>
  <sheetFormatPr defaultRowHeight="14.5" x14ac:dyDescent="0.35"/>
  <cols>
    <col min="1" max="1" width="10.90625" customWidth="1"/>
    <col min="2" max="2" width="27.26953125" customWidth="1"/>
    <col min="3" max="5" width="40" customWidth="1"/>
    <col min="6" max="6" width="50.90625" customWidth="1"/>
    <col min="7" max="7" width="36.36328125" customWidth="1"/>
    <col min="8" max="8" width="50.90625" customWidth="1"/>
    <col min="9" max="22" width="40" customWidth="1"/>
    <col min="23" max="23" width="58.1796875" customWidth="1"/>
  </cols>
  <sheetData>
    <row r="1" spans="1:8" ht="30" customHeight="1" x14ac:dyDescent="0.45">
      <c r="A1" s="30" t="s">
        <v>503</v>
      </c>
      <c r="B1" s="2"/>
      <c r="C1" s="2"/>
      <c r="D1" s="2"/>
      <c r="E1" s="2"/>
      <c r="F1" s="2"/>
      <c r="G1" s="2"/>
      <c r="H1" s="2"/>
    </row>
    <row r="2" spans="1:8" x14ac:dyDescent="0.35">
      <c r="A2" s="17" t="s">
        <v>504</v>
      </c>
      <c r="B2" s="2"/>
      <c r="C2" s="2"/>
      <c r="D2" s="2"/>
      <c r="E2" s="2"/>
      <c r="F2" s="2"/>
      <c r="G2" s="2"/>
      <c r="H2" s="2"/>
    </row>
    <row r="4" spans="1:8" ht="17" x14ac:dyDescent="0.4">
      <c r="A4" s="31" t="s">
        <v>211</v>
      </c>
      <c r="B4" s="2"/>
      <c r="C4" s="2"/>
      <c r="D4" s="2"/>
      <c r="E4" s="2"/>
      <c r="F4" s="2"/>
      <c r="G4" s="2"/>
      <c r="H4" s="2"/>
    </row>
    <row r="5" spans="1:8" x14ac:dyDescent="0.35">
      <c r="A5" s="32" t="s">
        <v>212</v>
      </c>
      <c r="B5" s="32" t="s">
        <v>3</v>
      </c>
      <c r="C5" s="32" t="s">
        <v>213</v>
      </c>
      <c r="D5" s="32" t="s">
        <v>214</v>
      </c>
      <c r="E5" s="32" t="s">
        <v>215</v>
      </c>
      <c r="F5" s="32" t="s">
        <v>216</v>
      </c>
      <c r="G5" s="32" t="s">
        <v>217</v>
      </c>
      <c r="H5" s="32" t="s">
        <v>218</v>
      </c>
    </row>
    <row r="6" spans="1:8" ht="43.5" x14ac:dyDescent="0.35">
      <c r="A6" s="11" t="s">
        <v>219</v>
      </c>
      <c r="B6" s="11" t="s">
        <v>4</v>
      </c>
      <c r="C6" s="10" t="s">
        <v>220</v>
      </c>
      <c r="D6" s="10" t="s">
        <v>221</v>
      </c>
      <c r="E6" s="10" t="s">
        <v>222</v>
      </c>
      <c r="F6" s="10" t="s">
        <v>223</v>
      </c>
      <c r="G6" s="10" t="s">
        <v>224</v>
      </c>
      <c r="H6" s="10" t="s">
        <v>225</v>
      </c>
    </row>
    <row r="7" spans="1:8" ht="58" x14ac:dyDescent="0.35">
      <c r="A7" s="11" t="s">
        <v>226</v>
      </c>
      <c r="B7" s="11" t="s">
        <v>5</v>
      </c>
      <c r="C7" s="10" t="s">
        <v>227</v>
      </c>
      <c r="D7" s="10" t="s">
        <v>228</v>
      </c>
      <c r="E7" s="10" t="s">
        <v>229</v>
      </c>
      <c r="F7" s="10" t="s">
        <v>230</v>
      </c>
      <c r="G7" s="10" t="s">
        <v>231</v>
      </c>
      <c r="H7" s="10" t="s">
        <v>232</v>
      </c>
    </row>
    <row r="8" spans="1:8" ht="58" x14ac:dyDescent="0.35">
      <c r="A8" s="11" t="s">
        <v>233</v>
      </c>
      <c r="B8" s="11" t="s">
        <v>6</v>
      </c>
      <c r="C8" s="10" t="s">
        <v>234</v>
      </c>
      <c r="D8" s="10" t="s">
        <v>235</v>
      </c>
      <c r="E8" s="10" t="s">
        <v>236</v>
      </c>
      <c r="F8" s="10" t="s">
        <v>237</v>
      </c>
      <c r="G8" s="10" t="s">
        <v>238</v>
      </c>
      <c r="H8" s="10" t="s">
        <v>239</v>
      </c>
    </row>
    <row r="9" spans="1:8" ht="145" x14ac:dyDescent="0.35">
      <c r="A9" s="11" t="s">
        <v>240</v>
      </c>
      <c r="B9" s="11" t="s">
        <v>7</v>
      </c>
      <c r="C9" s="10" t="s">
        <v>505</v>
      </c>
      <c r="D9" s="10" t="s">
        <v>506</v>
      </c>
      <c r="E9" s="10" t="s">
        <v>507</v>
      </c>
      <c r="F9" s="10" t="s">
        <v>508</v>
      </c>
      <c r="G9" s="10" t="s">
        <v>509</v>
      </c>
      <c r="H9" s="10" t="s">
        <v>510</v>
      </c>
    </row>
    <row r="10" spans="1:8" ht="188.5" x14ac:dyDescent="0.35">
      <c r="A10" s="14" t="s">
        <v>241</v>
      </c>
      <c r="B10" s="14" t="s">
        <v>8</v>
      </c>
      <c r="C10" s="14" t="s">
        <v>517</v>
      </c>
      <c r="D10" s="14" t="s">
        <v>518</v>
      </c>
      <c r="E10" s="14" t="s">
        <v>519</v>
      </c>
      <c r="F10" s="14" t="s">
        <v>520</v>
      </c>
      <c r="G10" s="14" t="s">
        <v>521</v>
      </c>
      <c r="H10" s="14" t="s">
        <v>522</v>
      </c>
    </row>
    <row r="11" spans="1:8" ht="58" x14ac:dyDescent="0.35">
      <c r="A11" s="11" t="s">
        <v>242</v>
      </c>
      <c r="B11" s="11" t="s">
        <v>9</v>
      </c>
      <c r="C11" s="10" t="s">
        <v>243</v>
      </c>
      <c r="D11" s="10" t="s">
        <v>244</v>
      </c>
      <c r="E11" s="10" t="s">
        <v>245</v>
      </c>
      <c r="F11" s="10" t="s">
        <v>246</v>
      </c>
      <c r="G11" s="10" t="s">
        <v>247</v>
      </c>
      <c r="H11" s="10" t="s">
        <v>248</v>
      </c>
    </row>
    <row r="12" spans="1:8" ht="43.5" x14ac:dyDescent="0.35">
      <c r="A12" s="11" t="s">
        <v>249</v>
      </c>
      <c r="B12" s="11" t="s">
        <v>10</v>
      </c>
      <c r="C12" s="10" t="s">
        <v>250</v>
      </c>
      <c r="D12" s="10" t="s">
        <v>251</v>
      </c>
      <c r="E12" s="10" t="s">
        <v>252</v>
      </c>
      <c r="F12" s="10" t="s">
        <v>253</v>
      </c>
      <c r="G12" s="10" t="s">
        <v>254</v>
      </c>
      <c r="H12" s="10" t="s">
        <v>255</v>
      </c>
    </row>
    <row r="13" spans="1:8" ht="116" x14ac:dyDescent="0.35">
      <c r="A13" s="33" t="s">
        <v>256</v>
      </c>
      <c r="B13" s="33" t="s">
        <v>11</v>
      </c>
      <c r="C13" s="34" t="s">
        <v>511</v>
      </c>
      <c r="D13" s="34" t="s">
        <v>512</v>
      </c>
      <c r="E13" s="34" t="s">
        <v>513</v>
      </c>
      <c r="F13" s="34" t="s">
        <v>514</v>
      </c>
      <c r="G13" s="34" t="s">
        <v>515</v>
      </c>
      <c r="H13" s="34" t="s">
        <v>516</v>
      </c>
    </row>
    <row r="14" spans="1:8" ht="58" x14ac:dyDescent="0.35">
      <c r="A14" s="11" t="s">
        <v>257</v>
      </c>
      <c r="B14" s="11" t="s">
        <v>12</v>
      </c>
      <c r="C14" s="10" t="s">
        <v>258</v>
      </c>
      <c r="D14" s="10" t="s">
        <v>259</v>
      </c>
      <c r="E14" s="10" t="s">
        <v>260</v>
      </c>
      <c r="F14" s="10" t="s">
        <v>261</v>
      </c>
      <c r="G14" s="10" t="s">
        <v>262</v>
      </c>
      <c r="H14" s="10" t="s">
        <v>263</v>
      </c>
    </row>
    <row r="15" spans="1:8" ht="101.5" x14ac:dyDescent="0.35">
      <c r="A15" s="16" t="s">
        <v>188</v>
      </c>
      <c r="B15" s="16" t="s">
        <v>114</v>
      </c>
      <c r="C15" s="16" t="s">
        <v>523</v>
      </c>
      <c r="D15" s="16" t="s">
        <v>524</v>
      </c>
      <c r="E15" s="16" t="s">
        <v>525</v>
      </c>
      <c r="F15" s="16" t="s">
        <v>526</v>
      </c>
      <c r="G15" s="16" t="s">
        <v>527</v>
      </c>
      <c r="H15" s="16" t="s">
        <v>528</v>
      </c>
    </row>
    <row r="16" spans="1:8" ht="43.5" x14ac:dyDescent="0.35">
      <c r="A16" s="11" t="s">
        <v>264</v>
      </c>
      <c r="B16" s="11" t="s">
        <v>14</v>
      </c>
      <c r="C16" s="10" t="s">
        <v>265</v>
      </c>
      <c r="D16" s="10" t="s">
        <v>266</v>
      </c>
      <c r="E16" s="10" t="s">
        <v>267</v>
      </c>
      <c r="F16" s="10" t="s">
        <v>268</v>
      </c>
      <c r="G16" s="10" t="s">
        <v>269</v>
      </c>
      <c r="H16" s="10" t="s">
        <v>270</v>
      </c>
    </row>
    <row r="17" spans="1:8" ht="58" x14ac:dyDescent="0.35">
      <c r="A17" s="11" t="s">
        <v>271</v>
      </c>
      <c r="B17" s="11" t="s">
        <v>15</v>
      </c>
      <c r="C17" s="10" t="s">
        <v>272</v>
      </c>
      <c r="D17" s="10" t="s">
        <v>273</v>
      </c>
      <c r="E17" s="10" t="s">
        <v>274</v>
      </c>
      <c r="F17" s="10" t="s">
        <v>275</v>
      </c>
      <c r="G17" s="10" t="s">
        <v>276</v>
      </c>
      <c r="H17" s="10" t="s">
        <v>277</v>
      </c>
    </row>
    <row r="18" spans="1:8" ht="72.5" x14ac:dyDescent="0.35">
      <c r="A18" s="11" t="s">
        <v>193</v>
      </c>
      <c r="B18" s="11" t="s">
        <v>35</v>
      </c>
      <c r="C18" s="10" t="s">
        <v>529</v>
      </c>
      <c r="D18" s="10" t="s">
        <v>530</v>
      </c>
      <c r="E18" s="10" t="s">
        <v>531</v>
      </c>
      <c r="F18" s="10" t="s">
        <v>532</v>
      </c>
      <c r="G18" s="10" t="s">
        <v>533</v>
      </c>
      <c r="H18" s="10" t="s">
        <v>534</v>
      </c>
    </row>
    <row r="19" spans="1:8" ht="58" x14ac:dyDescent="0.35">
      <c r="A19" s="11" t="s">
        <v>278</v>
      </c>
      <c r="B19" s="11" t="s">
        <v>17</v>
      </c>
      <c r="C19" s="10" t="s">
        <v>279</v>
      </c>
      <c r="D19" s="10" t="s">
        <v>280</v>
      </c>
      <c r="E19" s="10" t="s">
        <v>281</v>
      </c>
      <c r="F19" s="10" t="s">
        <v>282</v>
      </c>
      <c r="G19" s="10" t="s">
        <v>283</v>
      </c>
      <c r="H19" s="10" t="s">
        <v>284</v>
      </c>
    </row>
    <row r="20" spans="1:8" ht="43.5" x14ac:dyDescent="0.35">
      <c r="A20" s="11" t="s">
        <v>285</v>
      </c>
      <c r="B20" s="11" t="s">
        <v>18</v>
      </c>
      <c r="C20" s="10" t="s">
        <v>286</v>
      </c>
      <c r="D20" s="10" t="s">
        <v>287</v>
      </c>
      <c r="E20" s="10" t="s">
        <v>288</v>
      </c>
      <c r="F20" s="10" t="s">
        <v>289</v>
      </c>
      <c r="G20" s="10" t="s">
        <v>290</v>
      </c>
      <c r="H20" s="10" t="s">
        <v>291</v>
      </c>
    </row>
    <row r="21" spans="1:8" ht="43.5" x14ac:dyDescent="0.35">
      <c r="A21" s="11" t="s">
        <v>196</v>
      </c>
      <c r="B21" s="11" t="s">
        <v>19</v>
      </c>
      <c r="C21" s="10" t="s">
        <v>292</v>
      </c>
      <c r="D21" s="10" t="s">
        <v>293</v>
      </c>
      <c r="E21" s="10" t="s">
        <v>294</v>
      </c>
      <c r="F21" s="10" t="s">
        <v>295</v>
      </c>
      <c r="G21" s="10" t="s">
        <v>296</v>
      </c>
      <c r="H21" s="10" t="s">
        <v>297</v>
      </c>
    </row>
    <row r="22" spans="1:8" ht="58" x14ac:dyDescent="0.35">
      <c r="A22" s="11" t="s">
        <v>298</v>
      </c>
      <c r="B22" s="11" t="s">
        <v>20</v>
      </c>
      <c r="C22" s="10" t="s">
        <v>299</v>
      </c>
      <c r="D22" s="10" t="s">
        <v>300</v>
      </c>
      <c r="E22" s="10" t="s">
        <v>301</v>
      </c>
      <c r="F22" s="10" t="s">
        <v>302</v>
      </c>
      <c r="G22" s="10" t="s">
        <v>303</v>
      </c>
      <c r="H22" s="10" t="s">
        <v>304</v>
      </c>
    </row>
    <row r="23" spans="1:8" ht="43.5" x14ac:dyDescent="0.35">
      <c r="A23" s="11" t="s">
        <v>305</v>
      </c>
      <c r="B23" s="11" t="s">
        <v>21</v>
      </c>
      <c r="C23" s="10" t="s">
        <v>306</v>
      </c>
      <c r="D23" s="10" t="s">
        <v>307</v>
      </c>
      <c r="E23" s="10" t="s">
        <v>308</v>
      </c>
      <c r="F23" s="10" t="s">
        <v>309</v>
      </c>
      <c r="G23" s="10" t="s">
        <v>310</v>
      </c>
      <c r="H23" s="10" t="s">
        <v>311</v>
      </c>
    </row>
    <row r="24" spans="1:8" ht="29" x14ac:dyDescent="0.35">
      <c r="A24" s="11" t="s">
        <v>312</v>
      </c>
      <c r="B24" s="11" t="s">
        <v>22</v>
      </c>
      <c r="C24" s="10" t="s">
        <v>313</v>
      </c>
      <c r="D24" s="10" t="s">
        <v>314</v>
      </c>
      <c r="E24" s="10" t="s">
        <v>315</v>
      </c>
      <c r="F24" s="10" t="s">
        <v>316</v>
      </c>
      <c r="G24" s="10" t="s">
        <v>317</v>
      </c>
      <c r="H24" s="10" t="s">
        <v>318</v>
      </c>
    </row>
    <row r="25" spans="1:8" ht="29" x14ac:dyDescent="0.35">
      <c r="A25" s="33" t="s">
        <v>199</v>
      </c>
      <c r="B25" s="33" t="s">
        <v>37</v>
      </c>
      <c r="C25" s="34" t="s">
        <v>319</v>
      </c>
      <c r="D25" s="34" t="s">
        <v>320</v>
      </c>
      <c r="E25" s="34" t="s">
        <v>321</v>
      </c>
      <c r="F25" s="34" t="s">
        <v>322</v>
      </c>
      <c r="G25" s="34" t="s">
        <v>323</v>
      </c>
      <c r="H25" s="34" t="s">
        <v>324</v>
      </c>
    </row>
    <row r="26" spans="1:8" ht="101.5" x14ac:dyDescent="0.35">
      <c r="A26" s="11" t="s">
        <v>325</v>
      </c>
      <c r="B26" s="11" t="s">
        <v>23</v>
      </c>
      <c r="C26" s="10" t="s">
        <v>535</v>
      </c>
      <c r="D26" s="10" t="s">
        <v>536</v>
      </c>
      <c r="E26" s="10" t="s">
        <v>537</v>
      </c>
      <c r="F26" s="10" t="s">
        <v>538</v>
      </c>
      <c r="G26" s="10" t="s">
        <v>539</v>
      </c>
      <c r="H26" s="10" t="s">
        <v>540</v>
      </c>
    </row>
    <row r="27" spans="1:8" ht="43.5" x14ac:dyDescent="0.35">
      <c r="A27" s="11" t="s">
        <v>326</v>
      </c>
      <c r="B27" s="11" t="s">
        <v>24</v>
      </c>
      <c r="C27" s="10" t="s">
        <v>327</v>
      </c>
      <c r="D27" s="10" t="s">
        <v>328</v>
      </c>
      <c r="E27" s="10" t="s">
        <v>329</v>
      </c>
      <c r="F27" s="10" t="s">
        <v>330</v>
      </c>
      <c r="G27" s="10" t="s">
        <v>331</v>
      </c>
      <c r="H27" s="10" t="s">
        <v>332</v>
      </c>
    </row>
    <row r="28" spans="1:8" ht="43.5" x14ac:dyDescent="0.35">
      <c r="A28" s="11" t="s">
        <v>333</v>
      </c>
      <c r="B28" s="11" t="s">
        <v>25</v>
      </c>
      <c r="C28" s="10" t="s">
        <v>334</v>
      </c>
      <c r="D28" s="10" t="s">
        <v>335</v>
      </c>
      <c r="E28" s="10" t="s">
        <v>336</v>
      </c>
      <c r="F28" s="10" t="s">
        <v>337</v>
      </c>
      <c r="G28" s="10" t="s">
        <v>338</v>
      </c>
      <c r="H28" s="10" t="s">
        <v>339</v>
      </c>
    </row>
    <row r="29" spans="1:8" ht="43.5" x14ac:dyDescent="0.35">
      <c r="A29" s="11" t="s">
        <v>201</v>
      </c>
      <c r="B29" s="11" t="s">
        <v>38</v>
      </c>
      <c r="C29" s="10" t="s">
        <v>340</v>
      </c>
      <c r="D29" s="10" t="s">
        <v>341</v>
      </c>
      <c r="E29" s="10" t="s">
        <v>342</v>
      </c>
      <c r="F29" s="10" t="s">
        <v>343</v>
      </c>
      <c r="G29" s="10" t="s">
        <v>344</v>
      </c>
      <c r="H29" s="10" t="s">
        <v>345</v>
      </c>
    </row>
    <row r="30" spans="1:8" ht="43.5" x14ac:dyDescent="0.35">
      <c r="A30" s="11" t="s">
        <v>346</v>
      </c>
      <c r="B30" s="11" t="s">
        <v>26</v>
      </c>
      <c r="C30" s="10" t="s">
        <v>347</v>
      </c>
      <c r="D30" s="10" t="s">
        <v>348</v>
      </c>
      <c r="E30" s="10" t="s">
        <v>349</v>
      </c>
      <c r="F30" s="10" t="s">
        <v>350</v>
      </c>
      <c r="G30" s="10" t="s">
        <v>351</v>
      </c>
      <c r="H30" s="10" t="s">
        <v>352</v>
      </c>
    </row>
    <row r="31" spans="1:8" ht="58" x14ac:dyDescent="0.35">
      <c r="A31" s="11" t="s">
        <v>353</v>
      </c>
      <c r="B31" s="11" t="s">
        <v>27</v>
      </c>
      <c r="C31" s="10" t="s">
        <v>354</v>
      </c>
      <c r="D31" s="10" t="s">
        <v>355</v>
      </c>
      <c r="E31" s="10" t="s">
        <v>356</v>
      </c>
      <c r="F31" s="10" t="s">
        <v>357</v>
      </c>
      <c r="G31" s="10" t="s">
        <v>358</v>
      </c>
      <c r="H31" s="10" t="s">
        <v>359</v>
      </c>
    </row>
    <row r="32" spans="1:8" ht="43.5" x14ac:dyDescent="0.35">
      <c r="A32" s="11" t="s">
        <v>360</v>
      </c>
      <c r="B32" s="11" t="s">
        <v>28</v>
      </c>
      <c r="C32" s="10" t="s">
        <v>361</v>
      </c>
      <c r="D32" s="10" t="s">
        <v>362</v>
      </c>
      <c r="E32" s="10" t="s">
        <v>363</v>
      </c>
      <c r="F32" s="10" t="s">
        <v>364</v>
      </c>
      <c r="G32" s="10" t="s">
        <v>365</v>
      </c>
      <c r="H32" s="10" t="s">
        <v>366</v>
      </c>
    </row>
    <row r="33" spans="1:8" ht="145" x14ac:dyDescent="0.35">
      <c r="A33" s="11" t="s">
        <v>367</v>
      </c>
      <c r="B33" s="11" t="s">
        <v>29</v>
      </c>
      <c r="C33" s="10" t="s">
        <v>541</v>
      </c>
      <c r="D33" s="10" t="s">
        <v>542</v>
      </c>
      <c r="E33" s="10" t="s">
        <v>543</v>
      </c>
      <c r="F33" s="10" t="s">
        <v>544</v>
      </c>
      <c r="G33" s="10" t="s">
        <v>545</v>
      </c>
      <c r="H33" s="10" t="s">
        <v>546</v>
      </c>
    </row>
    <row r="34" spans="1:8" ht="43.5" x14ac:dyDescent="0.35">
      <c r="A34" s="11" t="s">
        <v>204</v>
      </c>
      <c r="B34" s="11" t="s">
        <v>39</v>
      </c>
      <c r="C34" s="10" t="s">
        <v>368</v>
      </c>
      <c r="D34" s="10" t="s">
        <v>369</v>
      </c>
      <c r="E34" s="10" t="s">
        <v>370</v>
      </c>
      <c r="F34" s="10" t="s">
        <v>371</v>
      </c>
      <c r="G34" s="10" t="s">
        <v>372</v>
      </c>
      <c r="H34" s="10" t="s">
        <v>373</v>
      </c>
    </row>
    <row r="35" spans="1:8" ht="43.5" x14ac:dyDescent="0.35">
      <c r="A35" s="11" t="s">
        <v>206</v>
      </c>
      <c r="B35" s="11" t="s">
        <v>40</v>
      </c>
      <c r="C35" s="10" t="s">
        <v>374</v>
      </c>
      <c r="D35" s="10" t="s">
        <v>375</v>
      </c>
      <c r="E35" s="10" t="s">
        <v>376</v>
      </c>
      <c r="F35" s="10" t="s">
        <v>377</v>
      </c>
      <c r="G35" s="10" t="s">
        <v>378</v>
      </c>
      <c r="H35" s="10" t="s">
        <v>379</v>
      </c>
    </row>
    <row r="36" spans="1:8" ht="43.5" x14ac:dyDescent="0.35">
      <c r="A36" s="11" t="s">
        <v>380</v>
      </c>
      <c r="B36" s="11" t="s">
        <v>30</v>
      </c>
      <c r="C36" s="10" t="s">
        <v>381</v>
      </c>
      <c r="D36" s="10" t="s">
        <v>382</v>
      </c>
      <c r="E36" s="10" t="s">
        <v>383</v>
      </c>
      <c r="F36" s="10" t="s">
        <v>384</v>
      </c>
      <c r="G36" s="10" t="s">
        <v>385</v>
      </c>
      <c r="H36" s="10" t="s">
        <v>386</v>
      </c>
    </row>
    <row r="37" spans="1:8" ht="29" x14ac:dyDescent="0.35">
      <c r="A37" s="11" t="s">
        <v>387</v>
      </c>
      <c r="B37" s="11" t="s">
        <v>31</v>
      </c>
      <c r="C37" s="10" t="s">
        <v>388</v>
      </c>
      <c r="D37" s="10" t="s">
        <v>389</v>
      </c>
      <c r="E37" s="10" t="s">
        <v>390</v>
      </c>
      <c r="F37" s="10" t="s">
        <v>391</v>
      </c>
      <c r="G37" s="10" t="s">
        <v>290</v>
      </c>
      <c r="H37" s="10" t="s">
        <v>392</v>
      </c>
    </row>
    <row r="38" spans="1:8" ht="43.5" x14ac:dyDescent="0.35">
      <c r="A38" s="35" t="s">
        <v>34</v>
      </c>
      <c r="B38" s="35" t="s">
        <v>393</v>
      </c>
      <c r="C38" s="35" t="s">
        <v>394</v>
      </c>
      <c r="D38" s="35" t="s">
        <v>395</v>
      </c>
      <c r="E38" s="35" t="s">
        <v>396</v>
      </c>
      <c r="F38" s="35" t="s">
        <v>397</v>
      </c>
      <c r="G38" s="35" t="s">
        <v>398</v>
      </c>
      <c r="H38" s="35" t="s">
        <v>399</v>
      </c>
    </row>
    <row r="40" spans="1:8" x14ac:dyDescent="0.35">
      <c r="A40" s="37" t="s">
        <v>547</v>
      </c>
      <c r="B40" s="36"/>
      <c r="C40" s="36"/>
      <c r="D40" s="36"/>
      <c r="E40" s="36"/>
      <c r="F40" s="36"/>
      <c r="G40" s="36"/>
      <c r="H40" s="36"/>
    </row>
    <row r="41" spans="1:8" x14ac:dyDescent="0.35">
      <c r="A41" s="32" t="s">
        <v>44</v>
      </c>
      <c r="B41" s="32" t="s">
        <v>548</v>
      </c>
      <c r="C41" s="32" t="s">
        <v>549</v>
      </c>
      <c r="D41" s="32" t="s">
        <v>400</v>
      </c>
      <c r="E41" s="32" t="s">
        <v>401</v>
      </c>
      <c r="F41" s="32" t="s">
        <v>402</v>
      </c>
      <c r="G41" s="32" t="s">
        <v>550</v>
      </c>
      <c r="H41" t="s">
        <v>403</v>
      </c>
    </row>
    <row r="42" spans="1:8" ht="43.5" x14ac:dyDescent="0.35">
      <c r="A42" s="11" t="s">
        <v>404</v>
      </c>
      <c r="B42" s="11" t="s">
        <v>438</v>
      </c>
      <c r="C42" s="10" t="s">
        <v>551</v>
      </c>
      <c r="D42" s="10" t="s">
        <v>552</v>
      </c>
      <c r="E42" s="10" t="s">
        <v>553</v>
      </c>
      <c r="F42" s="10" t="s">
        <v>554</v>
      </c>
      <c r="G42" s="13" t="s">
        <v>555</v>
      </c>
      <c r="H42" t="s">
        <v>556</v>
      </c>
    </row>
    <row r="43" spans="1:8" ht="43.5" x14ac:dyDescent="0.35">
      <c r="A43" s="11" t="s">
        <v>68</v>
      </c>
      <c r="B43" s="11" t="s">
        <v>439</v>
      </c>
      <c r="C43" s="10" t="s">
        <v>557</v>
      </c>
      <c r="D43" s="10" t="s">
        <v>558</v>
      </c>
      <c r="E43" s="10" t="s">
        <v>559</v>
      </c>
      <c r="F43" s="10" t="s">
        <v>560</v>
      </c>
      <c r="G43" s="13" t="s">
        <v>561</v>
      </c>
      <c r="H43" t="s">
        <v>562</v>
      </c>
    </row>
    <row r="44" spans="1:8" ht="29" x14ac:dyDescent="0.35">
      <c r="A44" s="11" t="s">
        <v>54</v>
      </c>
      <c r="B44" s="11" t="s">
        <v>563</v>
      </c>
      <c r="C44" s="10" t="s">
        <v>564</v>
      </c>
      <c r="D44" s="10" t="s">
        <v>565</v>
      </c>
      <c r="E44" s="10" t="s">
        <v>405</v>
      </c>
      <c r="F44" s="10" t="s">
        <v>566</v>
      </c>
      <c r="G44" s="13" t="s">
        <v>567</v>
      </c>
      <c r="H44" t="s">
        <v>568</v>
      </c>
    </row>
    <row r="45" spans="1:8" ht="72.5" x14ac:dyDescent="0.35">
      <c r="A45" s="11" t="s">
        <v>406</v>
      </c>
      <c r="B45" s="11" t="s">
        <v>569</v>
      </c>
      <c r="C45" s="10" t="s">
        <v>570</v>
      </c>
      <c r="D45" s="10" t="s">
        <v>571</v>
      </c>
      <c r="E45" s="10" t="s">
        <v>572</v>
      </c>
      <c r="F45" s="10" t="s">
        <v>573</v>
      </c>
      <c r="G45" s="13" t="s">
        <v>574</v>
      </c>
      <c r="H45" t="s">
        <v>575</v>
      </c>
    </row>
    <row r="46" spans="1:8" ht="43.5" x14ac:dyDescent="0.35">
      <c r="A46" s="14" t="s">
        <v>67</v>
      </c>
      <c r="B46" s="14" t="s">
        <v>576</v>
      </c>
      <c r="C46" s="15" t="s">
        <v>577</v>
      </c>
      <c r="D46" s="15" t="s">
        <v>578</v>
      </c>
      <c r="E46" s="15" t="s">
        <v>579</v>
      </c>
      <c r="F46" s="15" t="s">
        <v>580</v>
      </c>
      <c r="G46" s="14" t="s">
        <v>581</v>
      </c>
      <c r="H46" t="s">
        <v>582</v>
      </c>
    </row>
    <row r="47" spans="1:8" ht="43.5" x14ac:dyDescent="0.35">
      <c r="A47" s="11" t="s">
        <v>48</v>
      </c>
      <c r="B47" s="11" t="s">
        <v>583</v>
      </c>
      <c r="C47" s="10" t="s">
        <v>584</v>
      </c>
      <c r="D47" s="10" t="s">
        <v>585</v>
      </c>
      <c r="E47" s="10" t="s">
        <v>586</v>
      </c>
      <c r="F47" s="10" t="s">
        <v>587</v>
      </c>
      <c r="G47" s="13" t="s">
        <v>588</v>
      </c>
      <c r="H47" t="s">
        <v>589</v>
      </c>
    </row>
    <row r="48" spans="1:8" ht="43.5" x14ac:dyDescent="0.35">
      <c r="A48" s="11" t="s">
        <v>55</v>
      </c>
      <c r="B48" s="11" t="s">
        <v>445</v>
      </c>
      <c r="C48" s="10" t="s">
        <v>590</v>
      </c>
      <c r="D48" s="10" t="s">
        <v>591</v>
      </c>
      <c r="E48" s="10" t="s">
        <v>586</v>
      </c>
      <c r="F48" s="10" t="s">
        <v>587</v>
      </c>
      <c r="G48" s="13" t="s">
        <v>592</v>
      </c>
      <c r="H48" t="s">
        <v>593</v>
      </c>
    </row>
    <row r="49" spans="1:8" ht="43.5" x14ac:dyDescent="0.35">
      <c r="A49" s="11" t="s">
        <v>56</v>
      </c>
      <c r="B49" s="11" t="s">
        <v>594</v>
      </c>
      <c r="C49" s="10" t="s">
        <v>595</v>
      </c>
      <c r="D49" s="10" t="s">
        <v>596</v>
      </c>
      <c r="E49" s="10" t="s">
        <v>586</v>
      </c>
      <c r="F49" s="10" t="s">
        <v>587</v>
      </c>
      <c r="G49" s="13" t="s">
        <v>597</v>
      </c>
      <c r="H49" t="s">
        <v>598</v>
      </c>
    </row>
    <row r="50" spans="1:8" ht="29" x14ac:dyDescent="0.35">
      <c r="A50" s="11" t="s">
        <v>57</v>
      </c>
      <c r="B50" s="11" t="s">
        <v>599</v>
      </c>
      <c r="C50" s="10" t="s">
        <v>600</v>
      </c>
      <c r="D50" s="10" t="s">
        <v>601</v>
      </c>
      <c r="E50" s="10" t="s">
        <v>586</v>
      </c>
      <c r="F50" s="10" t="s">
        <v>587</v>
      </c>
      <c r="G50" s="13" t="s">
        <v>602</v>
      </c>
      <c r="H50" t="s">
        <v>603</v>
      </c>
    </row>
    <row r="51" spans="1:8" ht="72.5" x14ac:dyDescent="0.35">
      <c r="A51" s="38" t="s">
        <v>604</v>
      </c>
      <c r="B51" s="38" t="s">
        <v>605</v>
      </c>
      <c r="C51" s="39" t="s">
        <v>606</v>
      </c>
      <c r="D51" s="39" t="s">
        <v>607</v>
      </c>
      <c r="E51" s="39" t="s">
        <v>608</v>
      </c>
      <c r="F51" s="39" t="s">
        <v>609</v>
      </c>
      <c r="G51" s="38" t="s">
        <v>610</v>
      </c>
      <c r="H51" t="s">
        <v>611</v>
      </c>
    </row>
    <row r="52" spans="1:8" ht="43.5" x14ac:dyDescent="0.35">
      <c r="A52" s="11" t="s">
        <v>58</v>
      </c>
      <c r="B52" s="11" t="s">
        <v>612</v>
      </c>
      <c r="C52" s="10" t="s">
        <v>613</v>
      </c>
      <c r="D52" s="10" t="s">
        <v>614</v>
      </c>
      <c r="E52" s="10" t="s">
        <v>586</v>
      </c>
      <c r="F52" s="10" t="s">
        <v>587</v>
      </c>
      <c r="G52" s="13" t="s">
        <v>615</v>
      </c>
      <c r="H52" t="s">
        <v>616</v>
      </c>
    </row>
    <row r="53" spans="1:8" ht="58" x14ac:dyDescent="0.35">
      <c r="A53" s="11" t="s">
        <v>53</v>
      </c>
      <c r="B53" s="11" t="s">
        <v>617</v>
      </c>
      <c r="C53" s="10" t="s">
        <v>618</v>
      </c>
      <c r="D53" s="10" t="s">
        <v>619</v>
      </c>
      <c r="E53" s="10" t="s">
        <v>586</v>
      </c>
      <c r="F53" s="10" t="s">
        <v>587</v>
      </c>
      <c r="G53" s="13" t="s">
        <v>620</v>
      </c>
      <c r="H53" t="s">
        <v>621</v>
      </c>
    </row>
    <row r="54" spans="1:8" ht="58" x14ac:dyDescent="0.35">
      <c r="A54" s="11" t="s">
        <v>60</v>
      </c>
      <c r="B54" s="11" t="s">
        <v>622</v>
      </c>
      <c r="C54" s="10" t="s">
        <v>623</v>
      </c>
      <c r="D54" s="10" t="s">
        <v>624</v>
      </c>
      <c r="E54" s="10" t="s">
        <v>586</v>
      </c>
      <c r="F54" s="10" t="s">
        <v>587</v>
      </c>
      <c r="G54" s="13" t="s">
        <v>625</v>
      </c>
      <c r="H54" t="s">
        <v>626</v>
      </c>
    </row>
    <row r="55" spans="1:8" ht="29" x14ac:dyDescent="0.35">
      <c r="A55" s="11" t="s">
        <v>407</v>
      </c>
      <c r="B55" s="11" t="s">
        <v>627</v>
      </c>
      <c r="C55" s="10" t="s">
        <v>628</v>
      </c>
      <c r="D55" s="10" t="s">
        <v>629</v>
      </c>
      <c r="E55" s="10" t="s">
        <v>586</v>
      </c>
      <c r="F55" s="10" t="s">
        <v>587</v>
      </c>
      <c r="G55" s="13" t="s">
        <v>630</v>
      </c>
      <c r="H55" t="s">
        <v>631</v>
      </c>
    </row>
    <row r="56" spans="1:8" ht="58" x14ac:dyDescent="0.35">
      <c r="A56" s="11" t="s">
        <v>61</v>
      </c>
      <c r="B56" s="11" t="s">
        <v>632</v>
      </c>
      <c r="C56" s="10" t="s">
        <v>633</v>
      </c>
      <c r="D56" s="10" t="s">
        <v>634</v>
      </c>
      <c r="E56" s="10" t="s">
        <v>586</v>
      </c>
      <c r="F56" s="10" t="s">
        <v>587</v>
      </c>
      <c r="G56" s="13" t="s">
        <v>635</v>
      </c>
      <c r="H56" t="s">
        <v>636</v>
      </c>
    </row>
    <row r="57" spans="1:8" ht="43.5" x14ac:dyDescent="0.35">
      <c r="A57" s="11" t="s">
        <v>69</v>
      </c>
      <c r="B57" s="11" t="s">
        <v>637</v>
      </c>
      <c r="C57" s="10" t="s">
        <v>638</v>
      </c>
      <c r="D57" s="10" t="s">
        <v>639</v>
      </c>
      <c r="E57" s="10" t="s">
        <v>586</v>
      </c>
      <c r="F57" s="10" t="s">
        <v>587</v>
      </c>
      <c r="G57" s="13" t="s">
        <v>640</v>
      </c>
      <c r="H57" t="s">
        <v>641</v>
      </c>
    </row>
    <row r="58" spans="1:8" ht="43.5" x14ac:dyDescent="0.35">
      <c r="A58" s="11" t="s">
        <v>49</v>
      </c>
      <c r="B58" s="11" t="s">
        <v>457</v>
      </c>
      <c r="C58" s="10" t="s">
        <v>408</v>
      </c>
      <c r="D58" s="10" t="s">
        <v>642</v>
      </c>
      <c r="E58" s="10" t="s">
        <v>586</v>
      </c>
      <c r="F58" s="10" t="s">
        <v>587</v>
      </c>
      <c r="G58" s="13" t="s">
        <v>643</v>
      </c>
      <c r="H58" t="s">
        <v>644</v>
      </c>
    </row>
    <row r="59" spans="1:8" ht="43.5" x14ac:dyDescent="0.35">
      <c r="A59" s="11" t="s">
        <v>409</v>
      </c>
      <c r="B59" s="11" t="s">
        <v>645</v>
      </c>
      <c r="C59" s="10" t="s">
        <v>646</v>
      </c>
      <c r="D59" s="10" t="s">
        <v>647</v>
      </c>
      <c r="E59" s="10" t="s">
        <v>586</v>
      </c>
      <c r="F59" s="10" t="s">
        <v>587</v>
      </c>
      <c r="G59" s="13" t="s">
        <v>648</v>
      </c>
      <c r="H59" t="s">
        <v>649</v>
      </c>
    </row>
    <row r="60" spans="1:8" ht="43.5" x14ac:dyDescent="0.35">
      <c r="A60" s="11" t="s">
        <v>62</v>
      </c>
      <c r="B60" s="11" t="s">
        <v>650</v>
      </c>
      <c r="C60" s="10" t="s">
        <v>651</v>
      </c>
      <c r="D60" s="10" t="s">
        <v>410</v>
      </c>
      <c r="E60" s="10" t="s">
        <v>586</v>
      </c>
      <c r="F60" s="10" t="s">
        <v>587</v>
      </c>
      <c r="G60" s="13" t="s">
        <v>652</v>
      </c>
      <c r="H60" t="s">
        <v>653</v>
      </c>
    </row>
    <row r="61" spans="1:8" ht="58" x14ac:dyDescent="0.35">
      <c r="A61" s="11" t="s">
        <v>72</v>
      </c>
      <c r="B61" s="11" t="s">
        <v>654</v>
      </c>
      <c r="C61" s="10" t="s">
        <v>411</v>
      </c>
      <c r="D61" s="10" t="s">
        <v>655</v>
      </c>
      <c r="E61" s="10" t="s">
        <v>586</v>
      </c>
      <c r="F61" s="10" t="s">
        <v>587</v>
      </c>
      <c r="G61" s="13" t="s">
        <v>656</v>
      </c>
      <c r="H61" t="s">
        <v>657</v>
      </c>
    </row>
    <row r="62" spans="1:8" ht="43.5" x14ac:dyDescent="0.35">
      <c r="A62" s="11" t="s">
        <v>412</v>
      </c>
      <c r="B62" s="11" t="s">
        <v>658</v>
      </c>
      <c r="C62" s="10" t="s">
        <v>638</v>
      </c>
      <c r="D62" s="10" t="s">
        <v>659</v>
      </c>
      <c r="E62" s="10" t="s">
        <v>586</v>
      </c>
      <c r="F62" s="10" t="s">
        <v>587</v>
      </c>
      <c r="G62" s="13" t="s">
        <v>660</v>
      </c>
      <c r="H62" t="s">
        <v>661</v>
      </c>
    </row>
    <row r="63" spans="1:8" ht="58" x14ac:dyDescent="0.35">
      <c r="A63" s="11" t="s">
        <v>50</v>
      </c>
      <c r="B63" s="11" t="s">
        <v>466</v>
      </c>
      <c r="C63" s="10" t="s">
        <v>662</v>
      </c>
      <c r="D63" s="10" t="s">
        <v>663</v>
      </c>
      <c r="E63" s="10" t="s">
        <v>586</v>
      </c>
      <c r="F63" s="10" t="s">
        <v>587</v>
      </c>
      <c r="G63" s="13" t="s">
        <v>664</v>
      </c>
      <c r="H63" t="s">
        <v>665</v>
      </c>
    </row>
    <row r="64" spans="1:8" ht="43.5" x14ac:dyDescent="0.35">
      <c r="A64" s="11" t="s">
        <v>413</v>
      </c>
      <c r="B64" s="11" t="s">
        <v>666</v>
      </c>
      <c r="C64" s="10" t="s">
        <v>414</v>
      </c>
      <c r="D64" s="10" t="s">
        <v>415</v>
      </c>
      <c r="E64" s="10" t="s">
        <v>586</v>
      </c>
      <c r="F64" s="10" t="s">
        <v>587</v>
      </c>
      <c r="G64" s="13" t="s">
        <v>667</v>
      </c>
      <c r="H64" t="s">
        <v>668</v>
      </c>
    </row>
    <row r="65" spans="1:8" ht="43.5" x14ac:dyDescent="0.35">
      <c r="A65" s="11" t="s">
        <v>74</v>
      </c>
      <c r="B65" s="11" t="s">
        <v>669</v>
      </c>
      <c r="C65" s="10" t="s">
        <v>416</v>
      </c>
      <c r="D65" s="10" t="s">
        <v>417</v>
      </c>
      <c r="E65" s="10" t="s">
        <v>586</v>
      </c>
      <c r="F65" s="10" t="s">
        <v>587</v>
      </c>
      <c r="G65" s="13" t="s">
        <v>670</v>
      </c>
      <c r="H65" t="s">
        <v>671</v>
      </c>
    </row>
    <row r="66" spans="1:8" ht="43.5" x14ac:dyDescent="0.35">
      <c r="A66" s="11" t="s">
        <v>51</v>
      </c>
      <c r="B66" s="11" t="s">
        <v>672</v>
      </c>
      <c r="C66" s="10" t="s">
        <v>673</v>
      </c>
      <c r="D66" s="10" t="s">
        <v>418</v>
      </c>
      <c r="E66" s="10" t="s">
        <v>586</v>
      </c>
      <c r="F66" s="10" t="s">
        <v>674</v>
      </c>
      <c r="G66" s="13" t="s">
        <v>675</v>
      </c>
      <c r="H66" t="s">
        <v>676</v>
      </c>
    </row>
    <row r="67" spans="1:8" ht="43.5" x14ac:dyDescent="0.35">
      <c r="A67" s="11" t="s">
        <v>52</v>
      </c>
      <c r="B67" s="11" t="s">
        <v>472</v>
      </c>
      <c r="C67" s="10" t="s">
        <v>419</v>
      </c>
      <c r="D67" s="10" t="s">
        <v>420</v>
      </c>
      <c r="E67" s="10" t="s">
        <v>586</v>
      </c>
      <c r="F67" s="10" t="s">
        <v>587</v>
      </c>
      <c r="G67" s="13" t="s">
        <v>677</v>
      </c>
      <c r="H67" t="s">
        <v>678</v>
      </c>
    </row>
    <row r="68" spans="1:8" ht="43.5" x14ac:dyDescent="0.35">
      <c r="A68" s="11" t="s">
        <v>63</v>
      </c>
      <c r="B68" s="11" t="s">
        <v>679</v>
      </c>
      <c r="C68" s="10" t="s">
        <v>680</v>
      </c>
      <c r="D68" s="10" t="s">
        <v>681</v>
      </c>
      <c r="E68" s="10" t="s">
        <v>586</v>
      </c>
      <c r="F68" s="10" t="s">
        <v>587</v>
      </c>
      <c r="G68" s="13" t="s">
        <v>682</v>
      </c>
      <c r="H68" t="s">
        <v>683</v>
      </c>
    </row>
    <row r="69" spans="1:8" ht="58" x14ac:dyDescent="0.35">
      <c r="A69" s="11" t="s">
        <v>64</v>
      </c>
      <c r="B69" s="11" t="s">
        <v>684</v>
      </c>
      <c r="C69" s="10" t="s">
        <v>421</v>
      </c>
      <c r="D69" s="10" t="s">
        <v>422</v>
      </c>
      <c r="E69" s="10" t="s">
        <v>586</v>
      </c>
      <c r="F69" s="10" t="s">
        <v>587</v>
      </c>
      <c r="G69" s="13" t="s">
        <v>685</v>
      </c>
      <c r="H69" t="s">
        <v>686</v>
      </c>
    </row>
    <row r="70" spans="1:8" ht="43.5" x14ac:dyDescent="0.35">
      <c r="A70" s="11" t="s">
        <v>76</v>
      </c>
      <c r="B70" s="11" t="s">
        <v>687</v>
      </c>
      <c r="C70" s="10" t="s">
        <v>688</v>
      </c>
      <c r="D70" s="10" t="s">
        <v>423</v>
      </c>
      <c r="E70" s="10" t="s">
        <v>586</v>
      </c>
      <c r="F70" s="10" t="s">
        <v>587</v>
      </c>
      <c r="G70" s="13" t="s">
        <v>689</v>
      </c>
      <c r="H70" t="s">
        <v>690</v>
      </c>
    </row>
    <row r="71" spans="1:8" ht="43.5" x14ac:dyDescent="0.35">
      <c r="A71" s="11" t="s">
        <v>78</v>
      </c>
      <c r="B71" s="11" t="s">
        <v>691</v>
      </c>
      <c r="C71" s="10" t="s">
        <v>424</v>
      </c>
      <c r="D71" s="10" t="s">
        <v>425</v>
      </c>
      <c r="E71" s="10" t="s">
        <v>586</v>
      </c>
      <c r="F71" s="10" t="s">
        <v>587</v>
      </c>
      <c r="G71" s="13" t="s">
        <v>692</v>
      </c>
      <c r="H71" t="s">
        <v>693</v>
      </c>
    </row>
    <row r="72" spans="1:8" ht="58" x14ac:dyDescent="0.35">
      <c r="A72" s="11" t="s">
        <v>66</v>
      </c>
      <c r="B72" s="11" t="s">
        <v>694</v>
      </c>
      <c r="C72" s="10" t="s">
        <v>426</v>
      </c>
      <c r="D72" s="10" t="s">
        <v>695</v>
      </c>
      <c r="E72" s="10" t="s">
        <v>586</v>
      </c>
      <c r="F72" s="10" t="s">
        <v>587</v>
      </c>
      <c r="G72" s="13" t="s">
        <v>696</v>
      </c>
      <c r="H72" t="s">
        <v>697</v>
      </c>
    </row>
    <row r="73" spans="1:8" ht="43.5" x14ac:dyDescent="0.35">
      <c r="A73" s="11" t="s">
        <v>427</v>
      </c>
      <c r="B73" s="11" t="s">
        <v>698</v>
      </c>
      <c r="C73" s="10" t="s">
        <v>699</v>
      </c>
      <c r="D73" s="10" t="s">
        <v>428</v>
      </c>
      <c r="E73" s="10" t="s">
        <v>586</v>
      </c>
      <c r="F73" s="10" t="s">
        <v>587</v>
      </c>
      <c r="G73" s="13" t="s">
        <v>700</v>
      </c>
      <c r="H73" t="s">
        <v>701</v>
      </c>
    </row>
  </sheetData>
  <mergeCells count="4">
    <mergeCell ref="A40:H40"/>
    <mergeCell ref="A1:H1"/>
    <mergeCell ref="A2:H2"/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Trades</vt:lpstr>
      <vt:lpstr>Reasoning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Sica</dc:creator>
  <cp:lastModifiedBy>Colin Sica</cp:lastModifiedBy>
  <dcterms:created xsi:type="dcterms:W3CDTF">2026-04-18T04:10:35Z</dcterms:created>
  <dcterms:modified xsi:type="dcterms:W3CDTF">2026-04-20T03:51:59Z</dcterms:modified>
</cp:coreProperties>
</file>