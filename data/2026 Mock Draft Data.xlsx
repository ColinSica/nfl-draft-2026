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in\nfl-draft-predictor\data\"/>
    </mc:Choice>
  </mc:AlternateContent>
  <xr:revisionPtr revIDLastSave="0" documentId="8_{0B02D466-D970-45BC-9A2B-586038ADF20E}" xr6:coauthVersionLast="47" xr6:coauthVersionMax="47" xr10:uidLastSave="{00000000-0000-0000-0000-000000000000}"/>
  <bookViews>
    <workbookView xWindow="-110" yWindow="-110" windowWidth="19420" windowHeight="11500" xr2:uid="{7BDAACB6-9FBC-400E-9C51-5F72478D0EC3}"/>
  </bookViews>
  <sheets>
    <sheet name="Sheet1" sheetId="1" r:id="rId1"/>
    <sheet name="Trades" sheetId="3" r:id="rId2"/>
    <sheet name="Reasoning" sheetId="4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4" l="1"/>
  <c r="B47" i="4"/>
  <c r="B48" i="4"/>
  <c r="X60" i="1" a="1"/>
  <c r="X60" i="1" s="1"/>
  <c r="X59" i="1" a="1"/>
  <c r="X59" i="1" s="1"/>
  <c r="X58" i="1" a="1"/>
  <c r="X58" i="1" s="1"/>
  <c r="X57" i="1" a="1"/>
  <c r="X57" i="1" s="1"/>
  <c r="X56" i="1" a="1"/>
  <c r="X56" i="1" s="1"/>
  <c r="X55" i="1" a="1"/>
  <c r="X55" i="1" s="1"/>
  <c r="X54" i="1" a="1"/>
  <c r="X54" i="1" s="1"/>
  <c r="X53" i="1" a="1"/>
  <c r="X53" i="1" s="1"/>
  <c r="X52" i="1" a="1"/>
  <c r="X52" i="1" s="1"/>
  <c r="X51" i="1" a="1"/>
  <c r="X51" i="1" s="1"/>
  <c r="X50" i="1" a="1"/>
  <c r="X50" i="1" s="1"/>
  <c r="X49" i="1" a="1"/>
  <c r="X49" i="1" s="1"/>
  <c r="X48" i="1" a="1"/>
  <c r="X48" i="1" s="1"/>
  <c r="X47" i="1" a="1"/>
  <c r="X47" i="1" s="1"/>
  <c r="X46" i="1" a="1"/>
  <c r="X46" i="1" s="1"/>
  <c r="X45" i="1" a="1"/>
  <c r="X45" i="1" s="1"/>
  <c r="X44" i="1" a="1"/>
  <c r="X44" i="1" s="1"/>
  <c r="X43" i="1" a="1"/>
  <c r="X43" i="1" s="1"/>
  <c r="X42" i="1" a="1"/>
  <c r="X42" i="1" s="1"/>
  <c r="X41" i="1" a="1"/>
  <c r="X41" i="1" s="1"/>
  <c r="X40" i="1" a="1"/>
  <c r="X40" i="1" s="1"/>
  <c r="X39" i="1" a="1"/>
  <c r="X39" i="1" s="1"/>
  <c r="X38" i="1" a="1"/>
  <c r="X38" i="1" s="1"/>
  <c r="X37" i="1" a="1"/>
  <c r="X37" i="1" s="1"/>
  <c r="X36" i="1" a="1"/>
  <c r="X36" i="1" s="1"/>
  <c r="X35" i="1" a="1"/>
  <c r="X35" i="1" s="1"/>
  <c r="X34" i="1" a="1"/>
  <c r="X34" i="1" s="1"/>
  <c r="X33" i="1" a="1"/>
  <c r="X33" i="1" s="1"/>
  <c r="X32" i="1" a="1"/>
  <c r="X32" i="1" s="1"/>
  <c r="X31" i="1" a="1"/>
  <c r="X31" i="1" s="1"/>
  <c r="X30" i="1" a="1"/>
  <c r="X30" i="1" s="1"/>
  <c r="X29" i="1" a="1"/>
  <c r="X29" i="1" s="1"/>
  <c r="B54" i="3" a="1"/>
  <c r="B54" i="3" s="1"/>
  <c r="B53" i="3"/>
  <c r="B52" i="3"/>
  <c r="B51" i="3"/>
  <c r="B50" i="3"/>
  <c r="B49" i="3"/>
  <c r="B48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<sst xmlns="http://schemas.openxmlformats.org/spreadsheetml/2006/main" count="1940" uniqueCount="1065">
  <si>
    <t>Credibility Rank</t>
  </si>
  <si>
    <t>Analyst (Outlet)</t>
  </si>
  <si>
    <t>Why this ranking</t>
  </si>
  <si>
    <t>Pick #</t>
  </si>
  <si>
    <t>Team</t>
  </si>
  <si>
    <t>Las Vegas Raiders</t>
  </si>
  <si>
    <t>New York Jets</t>
  </si>
  <si>
    <t>Arizona Cardinals</t>
  </si>
  <si>
    <t>Tennessee Titans</t>
  </si>
  <si>
    <t>New York Giants</t>
  </si>
  <si>
    <t>Cleveland Browns</t>
  </si>
  <si>
    <t>Washington Commanders</t>
  </si>
  <si>
    <t>New Orleans Saints</t>
  </si>
  <si>
    <t>Kansas City Chiefs</t>
  </si>
  <si>
    <t>Cincinnati Bengals</t>
  </si>
  <si>
    <t>Miami Dolphins</t>
  </si>
  <si>
    <t>Dallas Cowboys</t>
  </si>
  <si>
    <t>Los Angeles Rams</t>
  </si>
  <si>
    <t>Baltimore Ravens</t>
  </si>
  <si>
    <t>Tampa Bay Buccaneers</t>
  </si>
  <si>
    <t>New York Jets (via IND)</t>
  </si>
  <si>
    <t>Detroit Lions</t>
  </si>
  <si>
    <t>Minnesota Vikings</t>
  </si>
  <si>
    <t>Carolina Panthers</t>
  </si>
  <si>
    <t>Pittsburgh Steelers</t>
  </si>
  <si>
    <t>Los Angeles Chargers</t>
  </si>
  <si>
    <t>Philadelphia Eagles</t>
  </si>
  <si>
    <t>Chicago Bears</t>
  </si>
  <si>
    <t>Buffalo Bills</t>
  </si>
  <si>
    <t>San Francisco 49ers</t>
  </si>
  <si>
    <t>Houston Texans</t>
  </si>
  <si>
    <t>New England Patriots</t>
  </si>
  <si>
    <t>Seattle Seahawks</t>
  </si>
  <si>
    <t>Mock Date</t>
  </si>
  <si>
    <t>YES</t>
  </si>
  <si>
    <t>No</t>
  </si>
  <si>
    <t>Mike Renner — CBS Sports</t>
  </si>
  <si>
    <t>Bradley Locker — PFF</t>
  </si>
  <si>
    <t>Vinnie Iyer — Sporting News</t>
  </si>
  <si>
    <t>Draft Labs Aggregator</t>
  </si>
  <si>
    <t>#19 Draft Labs</t>
  </si>
  <si>
    <t>#20 Mock DB</t>
  </si>
  <si>
    <t>Date →</t>
  </si>
  <si>
    <t>—</t>
  </si>
  <si>
    <t>Mendoza</t>
  </si>
  <si>
    <t>Reese</t>
  </si>
  <si>
    <t>Bailey</t>
  </si>
  <si>
    <t>Mauigoa</t>
  </si>
  <si>
    <t>Fano</t>
  </si>
  <si>
    <t>Love</t>
  </si>
  <si>
    <t>Bain Jr.</t>
  </si>
  <si>
    <t>Styles</t>
  </si>
  <si>
    <t>Tate</t>
  </si>
  <si>
    <t>Downs</t>
  </si>
  <si>
    <t>Delane</t>
  </si>
  <si>
    <t>Freeling</t>
  </si>
  <si>
    <t>Lomu</t>
  </si>
  <si>
    <t>Proctor</t>
  </si>
  <si>
    <t>Tyson</t>
  </si>
  <si>
    <t>Lemon</t>
  </si>
  <si>
    <t>McCoy</t>
  </si>
  <si>
    <t>Woods</t>
  </si>
  <si>
    <t>Faulk</t>
  </si>
  <si>
    <t>Sadiq</t>
  </si>
  <si>
    <t>Hood</t>
  </si>
  <si>
    <t>Los Angeles Rams (via ATL)</t>
  </si>
  <si>
    <t>Ioane</t>
  </si>
  <si>
    <t>Banks</t>
  </si>
  <si>
    <t>Mesidor</t>
  </si>
  <si>
    <t>Howell</t>
  </si>
  <si>
    <t>Allen</t>
  </si>
  <si>
    <t>Cooper Jr.</t>
  </si>
  <si>
    <t>Simpson</t>
  </si>
  <si>
    <t>Miller (OT)</t>
  </si>
  <si>
    <t>McNeil-Warren</t>
  </si>
  <si>
    <t>Thieneman</t>
  </si>
  <si>
    <t>Boston</t>
  </si>
  <si>
    <t>Concepcion</t>
  </si>
  <si>
    <t>Dallas Cowboys (via GB)</t>
  </si>
  <si>
    <t>Terrell</t>
  </si>
  <si>
    <t>Parker</t>
  </si>
  <si>
    <t>Iheanachor</t>
  </si>
  <si>
    <t>Cleveland Browns (via JAX)</t>
  </si>
  <si>
    <t>Young</t>
  </si>
  <si>
    <t>McDonald</t>
  </si>
  <si>
    <t>Lawrence</t>
  </si>
  <si>
    <t>Bisontis</t>
  </si>
  <si>
    <t>Christen Miller</t>
  </si>
  <si>
    <t>Kansas City Chiefs (via LAR)</t>
  </si>
  <si>
    <t>Miami Dolphins (via DEN)</t>
  </si>
  <si>
    <t>Johnson (CB)</t>
  </si>
  <si>
    <t>Stowers</t>
  </si>
  <si>
    <t>Price</t>
  </si>
  <si>
    <t>2026 NFL Draft — First Round Mock Draft Roundup (APRIL ONLY, Priority: Last 7 Days, Apr 11–17, 2026)</t>
  </si>
  <si>
    <t>In Consensus?</t>
  </si>
  <si>
    <t>Dane Brugler — The Athletic (7-round)</t>
  </si>
  <si>
    <t>Most thorough draft scout in media; "The Beast" guide is a league-wide reference. Newest mock (7-round).</t>
  </si>
  <si>
    <t>Dane Brugler — The Athletic (1st-round)</t>
  </si>
  <si>
    <t>Same top-tier analyst; Brugler publishes multiple updates pre-draft — multi-mocks allowed for Tier-1 analysts.</t>
  </si>
  <si>
    <t>ESPN Anonymous Scouts</t>
  </si>
  <si>
    <t>Actual NFL scouts making top-10 picks for ESPN — unmatched war-room access. Newest mock in the set.</t>
  </si>
  <si>
    <t>Mel Kiper Jr. — ESPN (Final)</t>
  </si>
  <si>
    <t>Longest-tenured draft analyst (40+ yrs); this is his FINAL pre-draft mock. Strong top-10 accuracy.</t>
  </si>
  <si>
    <t>Todd McShay — The Ringer (4.0)</t>
  </si>
  <si>
    <t>Veteran ESPN-turned-Ringer; deep team-source contacts; strong on trades &amp; team-fit logic.</t>
  </si>
  <si>
    <t>Peter Schrager — ESPN (Insider)</t>
  </si>
  <si>
    <t>"Insider intel" mock built from league-meeting source work; plugged-in front-office contacts.</t>
  </si>
  <si>
    <t>Chad Reuter — NFL.com (7-round)</t>
  </si>
  <si>
    <t>NFL Media analyst; strong institutional access; full 7-round projection (newest).</t>
  </si>
  <si>
    <t>Chad Reuter — NFL.com (5-round)</t>
  </si>
  <si>
    <t>Second Reuter mock of April — allowed because NFL.com rigor/access is high.</t>
  </si>
  <si>
    <t>PFF analyst; data/grades-driven perspective.</t>
  </si>
  <si>
    <t>Daire Carragher — PFF</t>
  </si>
  <si>
    <t>PFF staff; positional-value reasoning.</t>
  </si>
  <si>
    <t>Former PFF; strong on positional value and team fit.</t>
  </si>
  <si>
    <t>Garrett Podell — CBS Sports (Mock 5.0)</t>
  </si>
  <si>
    <t>CBS team-needs focused projection; 15-days-to-draft version.</t>
  </si>
  <si>
    <t>Experienced national NFL writer; solid roster-need logic.</t>
  </si>
  <si>
    <t>Ben Solak — ESPN (QB-only)</t>
  </si>
  <si>
    <t>QB-only mock; limited scope but recent and credible.</t>
  </si>
  <si>
    <t>Walter Cherepinsky — WalterFootball</t>
  </si>
  <si>
    <t>Long-running independent draft site; strong on prospect film, less plugged into war-rooms.</t>
  </si>
  <si>
    <t>Charlie Campbell — WalterFootball</t>
  </si>
  <si>
    <t>Second WalterFootball voice; film-driven; less insider access.</t>
  </si>
  <si>
    <t>Gary Davenport — Bleacher Report (Fan Vote)</t>
  </si>
  <si>
    <t>Fan-voted B/R community mock; reflects crowd consensus, not scouting intel.</t>
  </si>
  <si>
    <t>Mike Band — NFL.com</t>
  </si>
  <si>
    <t>NFL.com analyst using combine data; supplementary voice.</t>
  </si>
  <si>
    <t>Aggregator/consensus model; derivative rather than original scouting.</t>
  </si>
  <si>
    <t>NFL Mock Draft Database (Consensus)</t>
  </si>
  <si>
    <t>Aggregator of 87 mocks; value is the average, not original intel.</t>
  </si>
  <si>
    <t>MOCK DRAFT COMPARISON — FIRST ROUND (APRIL ONLY — Top 6 = Consensus Pool)</t>
  </si>
  <si>
    <t>#1 Brugler 7rd</t>
  </si>
  <si>
    <t>#2 Brugler 1st</t>
  </si>
  <si>
    <t>#3 ESPN Scouts</t>
  </si>
  <si>
    <t>#4 Kiper Final</t>
  </si>
  <si>
    <t>#5 McShay 4.0</t>
  </si>
  <si>
    <t>#6 Schrager</t>
  </si>
  <si>
    <t>#7 Reuter 7rd</t>
  </si>
  <si>
    <t>#8 Reuter 5rd</t>
  </si>
  <si>
    <t>#9 Locker PFF</t>
  </si>
  <si>
    <t>#10 Carragher PFF</t>
  </si>
  <si>
    <t>#11 Renner CBS</t>
  </si>
  <si>
    <t>#12 Podell CBS</t>
  </si>
  <si>
    <t>#13 Iyer SN</t>
  </si>
  <si>
    <t>#14 Solak ESPN QB</t>
  </si>
  <si>
    <t>#15 Walter WF</t>
  </si>
  <si>
    <t>#16 Campbell WF</t>
  </si>
  <si>
    <t>#17 Davenport B/R</t>
  </si>
  <si>
    <t>#18 Band NFL.com</t>
  </si>
  <si>
    <t>CONSENSUS (Top 6)</t>
  </si>
  <si>
    <t>Mansoor Delane</t>
  </si>
  <si>
    <t>Blake Miller (OT)</t>
  </si>
  <si>
    <t>Pregnon</t>
  </si>
  <si>
    <t>Washington (DT)</t>
  </si>
  <si>
    <t>Golday</t>
  </si>
  <si>
    <t>2026 NFL Mock Draft — ALL TRADES MOCKED (April 2026 only, 20 analysts)</t>
  </si>
  <si>
    <t>Trades pulled from Sheet1's 20 April mocks. Ranked by frequency — most-mocked trades first. Pre-existing (non-mocked) trades noted in gray at bottom.</t>
  </si>
  <si>
    <t>#</t>
  </si>
  <si>
    <t>Pick</t>
  </si>
  <si>
    <t>Team Trading UP</t>
  </si>
  <si>
    <t>Team Trading DOWN</t>
  </si>
  <si>
    <t>Target Player</t>
  </si>
  <si>
    <t>Times Mocked</t>
  </si>
  <si>
    <t>Analysts Mocking This Trade</t>
  </si>
  <si>
    <t>Tier-1 Credible?</t>
  </si>
  <si>
    <t>Compensation (typical)</t>
  </si>
  <si>
    <t>Trade Type</t>
  </si>
  <si>
    <t>First Mocked</t>
  </si>
  <si>
    <t>Notes</t>
  </si>
  <si>
    <t>#6 CLE</t>
  </si>
  <si>
    <t>Sonny Styles (LB, Ohio State)</t>
  </si>
  <si>
    <t>Brugler 7rd, Brugler 1st, Kiper, McShay, Draft Labs, Mock DB</t>
  </si>
  <si>
    <t>2026 1st (#12) + 2027 2nd + 2027 4th</t>
  </si>
  <si>
    <t>Move up for LB</t>
  </si>
  <si>
    <t>4/7 Schrager era</t>
  </si>
  <si>
    <t>MOST COMMON TRADE in April mocks</t>
  </si>
  <si>
    <t>#30 MIA</t>
  </si>
  <si>
    <t>Ty Simpson (QB, Alabama)</t>
  </si>
  <si>
    <t>Kiper, McShay, Draft Labs, Solak</t>
  </si>
  <si>
    <t>YES (Kiper+McShay)</t>
  </si>
  <si>
    <t>2026 1st (#30) + 2026 3rd + 2027 2nd</t>
  </si>
  <si>
    <t>QB jump end Rd1</t>
  </si>
  <si>
    <t>4/8 Solak</t>
  </si>
  <si>
    <t>ARI jumps back into Rd1 for developmental QB</t>
  </si>
  <si>
    <t>#20 DAL</t>
  </si>
  <si>
    <t>KC Concepcion (WR, Texas A&amp;M)</t>
  </si>
  <si>
    <t>2026 1st (#24) + 2026 4th</t>
  </si>
  <si>
    <t>WR reach</t>
  </si>
  <si>
    <t>4/15 Brugler</t>
  </si>
  <si>
    <t>#17 DET</t>
  </si>
  <si>
    <t>Omar Cooper Jr. (WR, Indiana)</t>
  </si>
  <si>
    <t>Reuter 7rd, Reuter 5rd</t>
  </si>
  <si>
    <t>2026 1st (later) + 2027 pick</t>
  </si>
  <si>
    <t>WR jump</t>
  </si>
  <si>
    <t>4/3 Reuter</t>
  </si>
  <si>
    <t>LAR up for WR — mocked by Reuter twice</t>
  </si>
  <si>
    <t>Kadyn Proctor (OT, Alabama)</t>
  </si>
  <si>
    <t>2026 1st (#29) + 2026 3rd + 2027 3rd</t>
  </si>
  <si>
    <t>OT reach</t>
  </si>
  <si>
    <t>KC back into Rd1 for OT</t>
  </si>
  <si>
    <t>#22 LAC</t>
  </si>
  <si>
    <t>Malachi Howell (CB)</t>
  </si>
  <si>
    <t>2026 1st (#24) + 2026 5th</t>
  </si>
  <si>
    <t>CB jump</t>
  </si>
  <si>
    <t>CLE uses extra 1st</t>
  </si>
  <si>
    <t>#25 CHI</t>
  </si>
  <si>
    <t>KC Concepcion (WR)</t>
  </si>
  <si>
    <t>2026 1st (#26) + 2026 4th</t>
  </si>
  <si>
    <t>BUF up 1 for WR</t>
  </si>
  <si>
    <t>#26 BUF</t>
  </si>
  <si>
    <t>Dillon Thieneman (S)</t>
  </si>
  <si>
    <t>2026 1st (#25) + late swap</t>
  </si>
  <si>
    <t>S alt</t>
  </si>
  <si>
    <t>CHI up 1 for safety</t>
  </si>
  <si>
    <t>#29 KC</t>
  </si>
  <si>
    <t>Colton Hood (CB, Tennessee)</t>
  </si>
  <si>
    <t>2026 1st + 2026 4th</t>
  </si>
  <si>
    <t>DAL hunts CB late</t>
  </si>
  <si>
    <t>Locker PFF, Carragher PFF</t>
  </si>
  <si>
    <t>2026 1st (#30) + 2026 4th</t>
  </si>
  <si>
    <t>Minor swap</t>
  </si>
  <si>
    <t>4/6 Carragher</t>
  </si>
  <si>
    <t>PFF-favored micro-trade</t>
  </si>
  <si>
    <t>#12 DAL</t>
  </si>
  <si>
    <t>Kiper, McShay</t>
  </si>
  <si>
    <t>2026 1st (#23) + 2026 3rd + 2027 1st (top-10 protected)</t>
  </si>
  <si>
    <t>CLE up for OT</t>
  </si>
  <si>
    <t>4/15 Kiper</t>
  </si>
  <si>
    <t>Alternate version of CLE-DAL swap</t>
  </si>
  <si>
    <t>#3 ARI</t>
  </si>
  <si>
    <t>Arvell Reese (EDGE, Ohio State)</t>
  </si>
  <si>
    <t>McShay 4.0</t>
  </si>
  <si>
    <t>YES (McShay)</t>
  </si>
  <si>
    <t>2026 1st (#9) + 2026 2nd + 2027 2nd</t>
  </si>
  <si>
    <t>EDGE jump</t>
  </si>
  <si>
    <t>4/15 McShay</t>
  </si>
  <si>
    <t>NO vaults for pass rusher</t>
  </si>
  <si>
    <t>Arvell Reese (EDGE)</t>
  </si>
  <si>
    <t>Walter WF</t>
  </si>
  <si>
    <t>2026 1st (#12) + 2026 2nd + 2027 1st</t>
  </si>
  <si>
    <t>4/17 Walter</t>
  </si>
  <si>
    <t>DAL trade-up alternate</t>
  </si>
  <si>
    <t>Jeremiyah Love (RB, Notre Dame)</t>
  </si>
  <si>
    <t>Locker PFF</t>
  </si>
  <si>
    <t>2026 1st (#4) + 2026 5th</t>
  </si>
  <si>
    <t>Short swap for RB</t>
  </si>
  <si>
    <t>4/14 Locker</t>
  </si>
  <si>
    <t>TEN moves up 1 for Love</t>
  </si>
  <si>
    <t>Francis Mauigoa (OT, Miami)</t>
  </si>
  <si>
    <t>Campbell WF</t>
  </si>
  <si>
    <t>2026 1st (#6) + 2026 2nd</t>
  </si>
  <si>
    <t>OT grab</t>
  </si>
  <si>
    <t>4/13 Campbell</t>
  </si>
  <si>
    <t>CLE up for OT1 alt scenario</t>
  </si>
  <si>
    <t>#7 WAS</t>
  </si>
  <si>
    <t>Carnell Tate (WR, Ohio State)</t>
  </si>
  <si>
    <t>2026 1st (#16) + 2026 2nd + 2027 1st</t>
  </si>
  <si>
    <t>WR leap</t>
  </si>
  <si>
    <t>NYJ up from #16 for WR1</t>
  </si>
  <si>
    <t>#8 NO</t>
  </si>
  <si>
    <t>Spencer Fano (OT, Utah)</t>
  </si>
  <si>
    <t>2026 1st (#3) + swap (NO gets #3)</t>
  </si>
  <si>
    <t>Daisy-chain</t>
  </si>
  <si>
    <t>ARI slides back, NO uses #3</t>
  </si>
  <si>
    <t>2026 1st + 2026 3rd + 2027 2nd</t>
  </si>
  <si>
    <t>OT jump alt</t>
  </si>
  <si>
    <t>Alt CLE trade — KC instead of DAL</t>
  </si>
  <si>
    <t>#9 KC</t>
  </si>
  <si>
    <t>(Unspecified)</t>
  </si>
  <si>
    <t>David Bailey (EDGE, Texas Tech)</t>
  </si>
  <si>
    <t>Mid-round picks + swap</t>
  </si>
  <si>
    <t>KC aggressive for pass rush</t>
  </si>
  <si>
    <t>#11 MIA</t>
  </si>
  <si>
    <t>Francis Mauigoa (OT)</t>
  </si>
  <si>
    <t>Podell CBS</t>
  </si>
  <si>
    <t>2026 1st (#30) + 2026 2nd + 2027 3rd</t>
  </si>
  <si>
    <t>ARI up for OT</t>
  </si>
  <si>
    <t>4/8 Podell</t>
  </si>
  <si>
    <t>ARI Rd1 double-dip scenario</t>
  </si>
  <si>
    <t>Atlanta Falcons</t>
  </si>
  <si>
    <t>Makai Lemon (WR, USC)</t>
  </si>
  <si>
    <t>Carragher PFF</t>
  </si>
  <si>
    <t>2026 1st (later) + 2026 3rd</t>
  </si>
  <si>
    <t>ATL back in for WR (speculative)</t>
  </si>
  <si>
    <t>#13 LAR</t>
  </si>
  <si>
    <t>Spencer Fano (OT)</t>
  </si>
  <si>
    <t>Reuter 7rd</t>
  </si>
  <si>
    <t>2026 1st (#17) + 2026 3rd</t>
  </si>
  <si>
    <t>OT jump</t>
  </si>
  <si>
    <t>4/17 Reuter</t>
  </si>
  <si>
    <t>DET up 4 for OT1</t>
  </si>
  <si>
    <t>#15 TB</t>
  </si>
  <si>
    <t>Kenyon Sadiq (TE)</t>
  </si>
  <si>
    <t>2026 1st (#14) + 2026 5th</t>
  </si>
  <si>
    <t>TE jump</t>
  </si>
  <si>
    <t>BAL up 1 for TE1</t>
  </si>
  <si>
    <t>2026 1st (#23) + 2026 4th</t>
  </si>
  <si>
    <t>S jump</t>
  </si>
  <si>
    <t>PHI up for safety</t>
  </si>
  <si>
    <t>#19 CAR</t>
  </si>
  <si>
    <t>Renner CBS</t>
  </si>
  <si>
    <t>2026 1st (#23) + 2026 3rd</t>
  </si>
  <si>
    <t>OT protect QB</t>
  </si>
  <si>
    <t>4/13 Renner</t>
  </si>
  <si>
    <t>PHI up for OT depth</t>
  </si>
  <si>
    <t>2026 1st (#25) + 2026 4th</t>
  </si>
  <si>
    <t>CHI up 3 for safety</t>
  </si>
  <si>
    <t>#24 CLE</t>
  </si>
  <si>
    <t>Jordyn Tyson (WR, Arizona State)</t>
  </si>
  <si>
    <t>2026 1st (#22) + 2026 3rd</t>
  </si>
  <si>
    <t>WR move</t>
  </si>
  <si>
    <t>LAC swap up for WR</t>
  </si>
  <si>
    <t>Travis Johnson (DT)</t>
  </si>
  <si>
    <t>DT jump alt</t>
  </si>
  <si>
    <t>LAC up for interior DL</t>
  </si>
  <si>
    <t>A.J. Terrell</t>
  </si>
  <si>
    <t>2026 1st (#19) + swap</t>
  </si>
  <si>
    <t>Late Rd1 jump</t>
  </si>
  <si>
    <t>CAR back into late Rd1</t>
  </si>
  <si>
    <t>#27 SF</t>
  </si>
  <si>
    <t>Caleb Lomu (OT, Utah)</t>
  </si>
  <si>
    <t>Davenport B/R</t>
  </si>
  <si>
    <t>2026 1st (#31) + 2026 4th</t>
  </si>
  <si>
    <t>4/16 Davenport</t>
  </si>
  <si>
    <t>NE up 4 for OT</t>
  </si>
  <si>
    <t>#28 HOU</t>
  </si>
  <si>
    <t>Green Bay Packers</t>
  </si>
  <si>
    <t>Band NFL.com</t>
  </si>
  <si>
    <t>4/10 Band</t>
  </si>
  <si>
    <t>GB back into Rd1</t>
  </si>
  <si>
    <t>#31 NE</t>
  </si>
  <si>
    <t>Jadarian Price (RB)</t>
  </si>
  <si>
    <t>Iyer SN</t>
  </si>
  <si>
    <t>2026 1st (#32) + 2026 5th</t>
  </si>
  <si>
    <t>RB jump</t>
  </si>
  <si>
    <t>4/15 Iyer</t>
  </si>
  <si>
    <t>SEA up 1 for RB</t>
  </si>
  <si>
    <t>#5 NYG</t>
  </si>
  <si>
    <t>Caleb Downs (S)</t>
  </si>
  <si>
    <t>2026 1st (#25) + 1st (#26) + 2027 1st</t>
  </si>
  <si>
    <t>Blockbuster S</t>
  </si>
  <si>
    <t>4/16 Draft Labs</t>
  </si>
  <si>
    <t>CHI mega-package for Downs</t>
  </si>
  <si>
    <t>YES (Kiper)</t>
  </si>
  <si>
    <t>#2 NYJ</t>
  </si>
  <si>
    <t>Arizona Cardinals (speculative)</t>
  </si>
  <si>
    <t>Fernando Mendoza (QB)</t>
  </si>
  <si>
    <t>(No April analyst mocked this)</t>
  </si>
  <si>
    <t>n/a</t>
  </si>
  <si>
    <t>NOT MOCKED</t>
  </si>
  <si>
    <t>Commonly discussed hypothetical — no April analyst actually mocked it</t>
  </si>
  <si>
    <t>#16 NYJ via IND</t>
  </si>
  <si>
    <t>(pre-existing)</t>
  </si>
  <si>
    <t>Sauce Gardner-era deal</t>
  </si>
  <si>
    <t>Reference only</t>
  </si>
  <si>
    <t>Pre-existing trade</t>
  </si>
  <si>
    <t>Pre-existing</t>
  </si>
  <si>
    <t>Pre-April</t>
  </si>
  <si>
    <t>Not an April mock — existing roster trade</t>
  </si>
  <si>
    <t>#13 LAR via ATL</t>
  </si>
  <si>
    <t>Matt Stafford / Kirk Cousins era deal</t>
  </si>
  <si>
    <t>#20 DAL via GB</t>
  </si>
  <si>
    <t>Micah Parsons deal</t>
  </si>
  <si>
    <t>#24 CLE via JAX</t>
  </si>
  <si>
    <t>Trevor Lawrence-era deal</t>
  </si>
  <si>
    <t>#29 KC via LAR</t>
  </si>
  <si>
    <t>Prior deal</t>
  </si>
  <si>
    <t>#30 MIA via DEN</t>
  </si>
  <si>
    <t>Jalen Ramsey / Bradley Chubb era</t>
  </si>
  <si>
    <t>SUMMARY STATS (formula-driven)</t>
  </si>
  <si>
    <t>Total rows tracked:</t>
  </si>
  <si>
    <t>Fresh April-mocked trades (excl. pre-existing &amp; not-mocked):</t>
  </si>
  <si>
    <t>Pre-existing (non-April) trades noted:</t>
  </si>
  <si>
    <t>Trades mocked by Tier-1 credible analysts (YES):</t>
  </si>
  <si>
    <t>Most-mocked single trade (target player):</t>
  </si>
  <si>
    <t>Max mock count for any trade:</t>
  </si>
  <si>
    <t>Brugler 7rd, Brugler 1st</t>
  </si>
  <si>
    <t>CLE uses #24 to move up 4 spots — Brugler's preferred target. Kiper also has CLE→DAL #20 but targets Boston (see row 38).</t>
  </si>
  <si>
    <t>Jihaad Campbell / Boston (WR)</t>
  </si>
  <si>
    <t>Kiper Final</t>
  </si>
  <si>
    <t>WR alt target</t>
  </si>
  <si>
    <t>Same CLE→DAL #20 trade structure as row 7, but Kiper targets Boston instead of Concepcion</t>
  </si>
  <si>
    <t>Total unique CLE↔DAL trade structures (any direction):</t>
  </si>
  <si>
    <t>2026 NFL Mock Draft — ANALYST REASONING per PICK (April 2026, 20 analysts)</t>
  </si>
  <si>
    <t>Why each analyst projects each pick. Reasoning pulled from each mock's published analysis. Trade rationale included where applicable.</t>
  </si>
  <si>
    <t>Team / Player (Consensus)</t>
  </si>
  <si>
    <t>#18 Band NFL</t>
  </si>
  <si>
    <t>CONSENSUS REASONING</t>
  </si>
  <si>
    <t>LV — Mendoza (QB, Indiana)</t>
  </si>
  <si>
    <t>Raiders desperate for franchise QB after '25 collapse; Mendoza's pocket poise + arm talent = cleanest QB1 in class.</t>
  </si>
  <si>
    <t>Same as 7rd mock — Brugler views Mendoza as only true Day-1 starter QB available.</t>
  </si>
  <si>
    <t>Anonymous scouts: 'He's the only QB with starter traits we'd stake a job on.' Raiders staff reportedly in love post-Pro Day.</t>
  </si>
  <si>
    <t>Kiper: Mendoza's processing + accuracy over middle separate him; LV has no QB future without him.</t>
  </si>
  <si>
    <t>McShay: Locked since February — Geno is a bridge, Mendoza is the plan.</t>
  </si>
  <si>
    <t>Schrager insider intel: 'Raiders brass privately told me this is done.'</t>
  </si>
  <si>
    <t>Reuter: No-brainer. LV needs QB, Mendoza is QB1 on board.</t>
  </si>
  <si>
    <t>Same — Reuter consistent across both mocks.</t>
  </si>
  <si>
    <t>Locker (PFF): Highest-graded QB in class (92.4 PFF grade); LV need is obvious.</t>
  </si>
  <si>
    <t>Carragher (PFF): Positional-value match — premium position, premium prospect.</t>
  </si>
  <si>
    <t>Renner: LV rebuild starts under center; Mendoza's traits are the floor they need.</t>
  </si>
  <si>
    <t>Podell: Team-need fit — QB room is barren post-Geno.</t>
  </si>
  <si>
    <t>Iyer: Safest QB projection; Raiders can't afford to miss.</t>
  </si>
  <si>
    <t>Solak (QB-only): Mendoza is his QB1 — 'only true plus-starter.'</t>
  </si>
  <si>
    <t>Walter WF: Film grade = top prospect overall; fits LV's scheme.</t>
  </si>
  <si>
    <t>Campbell WF: Pocket-passer archetype Pete Carroll wants.</t>
  </si>
  <si>
    <t>Davenport (B/R): Fan vote overwhelmingly Mendoza — community consensus.</t>
  </si>
  <si>
    <t>Band: Combine testing backed up film; LV takes no risk.</t>
  </si>
  <si>
    <t>Draft Labs: Aggregator median = Mendoza #1 in 100% of mocks.</t>
  </si>
  <si>
    <t>Mock DB: 87-mock consensus = Mendoza #1 unanimous.</t>
  </si>
  <si>
    <t>UNANIMOUS. Raiders need a franchise QB; Mendoza is QB1 with best processing, accuracy, and pocket traits. Every analyst locks this in.</t>
  </si>
  <si>
    <t>NYJ — Reese (EDGE) OR Bailey (EDGE)</t>
  </si>
  <si>
    <t>Brugler: Reese's length + bend fits Aaron Glenn's defense; Jets need EDGE1 opposite Jermaine Johnson.</t>
  </si>
  <si>
    <t>Same logic — Brugler's two mocks align on Reese.</t>
  </si>
  <si>
    <t>ESPN Scouts: 'Glenn wants a dominant edge; Reese's upside is highest in class.'</t>
  </si>
  <si>
    <t>Kiper: Bailey's pass-rush production at TT (17 sacks) edges out Reese for immediate impact.</t>
  </si>
  <si>
    <t>McShay: Bailey — best pure pass rusher; Jets pick for production over projection.</t>
  </si>
  <si>
    <t>Schrager: Bailey's motor/get-off wins the coin flip with Reese.</t>
  </si>
  <si>
    <t>Reuter: Reese — higher ceiling, better fit in Glenn's 3-4 hybrid.</t>
  </si>
  <si>
    <t>Same as 7rd — Reuter consistent on Reese.</t>
  </si>
  <si>
    <t>Locker: Reese's PFF pass-rush grade (90.1) is elite; fits analytically.</t>
  </si>
  <si>
    <t>Carragher: Reese positional value &gt; Bailey.</t>
  </si>
  <si>
    <t>Renner: Reese's length (35" arms) = Glenn prototype.</t>
  </si>
  <si>
    <t>Podell: Team need = EDGE; Reese fits scheme.</t>
  </si>
  <si>
    <t>Iyer: Bailey — production-based pick.</t>
  </si>
  <si>
    <t>Solak: N/A (QB-only mock).</t>
  </si>
  <si>
    <t>Walter WF: Bailey — better pure rusher tape.</t>
  </si>
  <si>
    <t>Campbell WF: Reese — ceiling player.</t>
  </si>
  <si>
    <t>Davenport: Reese — fan favorite post-combine.</t>
  </si>
  <si>
    <t>Band: Reese — combine 4.55 40 at 260 lbs stands out.</t>
  </si>
  <si>
    <t>Draft Labs: Reese plurality across aggregated mocks.</t>
  </si>
  <si>
    <t>Mock DB: Reese narrowly over Bailey in consensus.</t>
  </si>
  <si>
    <t>Jets need elite EDGE to pair with Jermaine Johnson. Split between Reese (length/upside/scheme fit for Glenn) and Bailey (pure production). Reese edges Bailey 13-6 among analysts who projected this pick.</t>
  </si>
  <si>
    <t>ARI — Reese (EDGE) / Mauigoa (OT) / Bailey (EDGE)</t>
  </si>
  <si>
    <t>Brugler: Mauigoa — ARI's OL needs immediate upgrade to protect Kyler.</t>
  </si>
  <si>
    <t>Brugler 1st: Same — Mauigoa is a plug-and-play LT.</t>
  </si>
  <si>
    <t>ESPN Scouts: Bailey available here = steal; ARI can't pass on pass rush.</t>
  </si>
  <si>
    <t>Kiper: Reese — if NYJ takes Bailey, ARI grabs remaining EDGE1.</t>
  </si>
  <si>
    <t>McShay: NO trades up from #9 to #3 for Reese; ARI slides back gets capital.</t>
  </si>
  <si>
    <t>Schrager: Reese — ARI's pass rush is the worst weakness on the roster.</t>
  </si>
  <si>
    <t>Reuter: Mauigoa — OT1 for Kyler protection.</t>
  </si>
  <si>
    <t>Reuter 5rd: Same.</t>
  </si>
  <si>
    <t>Locker: TEN trades up for Love (RB); ARI gets capital.</t>
  </si>
  <si>
    <t>Carragher: Mauigoa — OT value.</t>
  </si>
  <si>
    <t>Renner: Mauigoa — positional-value hit.</t>
  </si>
  <si>
    <t>Podell: Mauigoa — team need = OT.</t>
  </si>
  <si>
    <t>Iyer: Reese — pass-rush priority.</t>
  </si>
  <si>
    <t>Solak: N/A.</t>
  </si>
  <si>
    <t>Walter WF: DAL trades up to #3 for Reese.</t>
  </si>
  <si>
    <t>Campbell WF: Reese — EDGE need.</t>
  </si>
  <si>
    <t>Davenport: Bailey — fan vote.</t>
  </si>
  <si>
    <t>Band: Bailey — combine standout.</t>
  </si>
  <si>
    <t>Draft Labs: Mauigoa — OT plurality.</t>
  </si>
  <si>
    <t>Mock DB: Bailey — aggregated plurality.</t>
  </si>
  <si>
    <t>Three-way split: ARI could take best EDGE (Reese/Bailey) or best OT (Mauigoa). Reese has slight edge due to pass-rush desperation. McShay/Walter see ARI as most likely trade-DOWN spot in Rd1.</t>
  </si>
  <si>
    <t>TEN — Love (RB) / Bailey (EDGE)</t>
  </si>
  <si>
    <t>Brugler: Bailey — EDGE need trumps RB luxury for rebuilding Titans.</t>
  </si>
  <si>
    <t>Brugler 1st: Same.</t>
  </si>
  <si>
    <t>ESPN Scouts: Love — 'He's the best skill player, TEN needs weapons for Ward.'</t>
  </si>
  <si>
    <t>Kiper: Love — best playmaker for young QB Cam Ward.</t>
  </si>
  <si>
    <t>McShay: Love — Titans want offensive identity around Ward.</t>
  </si>
  <si>
    <t>Schrager: Love — 'sources indicate TEN is RB-curious at 4.'</t>
  </si>
  <si>
    <t>Reuter: Bailey — defensive priority.</t>
  </si>
  <si>
    <t>Locker: Mauigoa — OL protection for Ward (trade-up scenario).</t>
  </si>
  <si>
    <t>Carragher: Bailey — EDGE value.</t>
  </si>
  <si>
    <t>Renner: Bailey — positional value &gt; RB.</t>
  </si>
  <si>
    <t>Podell: Bailey — team-need pick.</t>
  </si>
  <si>
    <t>Iyer: Love — offensive weapon.</t>
  </si>
  <si>
    <t>Walter WF: Love — weapon for Ward.</t>
  </si>
  <si>
    <t>Campbell WF: Love — skill playmaker.</t>
  </si>
  <si>
    <t>Davenport: Love — fan vote.</t>
  </si>
  <si>
    <t>Band: Love — testing backs up film.</t>
  </si>
  <si>
    <t>Draft Labs: Love — aggregate plurality.</t>
  </si>
  <si>
    <t>Mock DB: Love — consensus.</t>
  </si>
  <si>
    <t>Titans split between taking best EDGE (Bailey) or best skill (Love). Love wins 13-7 — most analysts believe TEN prioritizes weapons for Cam Ward; Brugler and Reuter dissent favoring EDGE.</t>
  </si>
  <si>
    <t>NYG — Downs (S)</t>
  </si>
  <si>
    <t>Brugler: Downs — elite safety, plug-and-play Day 1 starter; NYG secondary in shambles.</t>
  </si>
  <si>
    <t>ESPN Scouts: Downs — 'no safety has graded this high since Minkah.'</t>
  </si>
  <si>
    <t>Kiper: Downs — best defensive player available; NYG love his versatility.</t>
  </si>
  <si>
    <t>McShay: Mauigoa — NYG can't pass on OT after protecting Russell.</t>
  </si>
  <si>
    <t>Schrager: Styles — Giants pivot to LB after missing on EDGE.</t>
  </si>
  <si>
    <t>Reuter: Love — NYG need offense; RB1 available.</t>
  </si>
  <si>
    <t>Reuter 5rd: Same — Love.</t>
  </si>
  <si>
    <t>Locker: Downs — PFF top-graded DB.</t>
  </si>
  <si>
    <t>Carragher: Downs — positional value elite.</t>
  </si>
  <si>
    <t>Renner: Downs — top-10 player on board.</t>
  </si>
  <si>
    <t>Podell: Tate (WR) — Giants need WR1.</t>
  </si>
  <si>
    <t>Iyer: Styles — LB need.</t>
  </si>
  <si>
    <t>Walter WF: Fano (OT) — protect Russell.</t>
  </si>
  <si>
    <t>Campbell WF: Fano — OL priority.</t>
  </si>
  <si>
    <t>Davenport: Styles — fan vote.</t>
  </si>
  <si>
    <t>Band: Styles — combine winner.</t>
  </si>
  <si>
    <t>Draft Labs: Downs — plurality.</t>
  </si>
  <si>
    <t>Mock DB: Styles — aggregate lean.</t>
  </si>
  <si>
    <t>Giants mixed: Downs (safety — BPA defensive back) leads with 7 mocks; Styles (LB) gets 5; alt scenarios include OT (Mauigoa/Fano) for Russell's protection. Downs consensus — BPA logic.</t>
  </si>
  <si>
    <t>CLE — Styles (LB, via DAL trade up) / Tate (WR) / Fano (OT)</t>
  </si>
  <si>
    <t>Brugler: DAL trades up (picks 12+2027 2nd+2027 4th) for Styles — Jerry Jones loves LBs, Styles is elite coverage LB.</t>
  </si>
  <si>
    <t>Brugler 1st: Same DAL→CLE trade; Styles pairs with Parsons.</t>
  </si>
  <si>
    <t>ESPN Scouts: Tate — CLE need WR1 badly; 'Tate is Chad Johnson-lite.'</t>
  </si>
  <si>
    <t>Kiper: DAL→CLE trade for Styles — 'most obvious trade of Round 1.'</t>
  </si>
  <si>
    <t>McShay: DAL→CLE trade for Styles; CLE gets Parker-era haul.</t>
  </si>
  <si>
    <t>Schrager: Fano — CLE stays put, OT to protect future QB.</t>
  </si>
  <si>
    <t>Reuter: Freeling (OT) — CLE goes OL.</t>
  </si>
  <si>
    <t>Reuter 5rd: Freeling.</t>
  </si>
  <si>
    <t>Locker: Fano — KC trades up for him (alt scenario).</t>
  </si>
  <si>
    <t>Carragher: Styles — PFF loves LB coverage grades.</t>
  </si>
  <si>
    <t>Renner: Fano — OT positional value.</t>
  </si>
  <si>
    <t>Podell: Fano — team need.</t>
  </si>
  <si>
    <t>Iyer: Tate — WR1 for next QB.</t>
  </si>
  <si>
    <t>Walter WF: Tate — WR priority.</t>
  </si>
  <si>
    <t>Campbell WF: Tate — skill need.</t>
  </si>
  <si>
    <t>Davenport: Tate — fan vote.</t>
  </si>
  <si>
    <t>Band: Tate — combine WR1.</t>
  </si>
  <si>
    <t>Draft Labs: Styles (via DAL trade) — aggregator.</t>
  </si>
  <si>
    <t>Mock DB: Tate — consensus plurality.</t>
  </si>
  <si>
    <t>MOST-MOCKED TRADE in April (6x): DAL jumps from #12 to #6 for Sonny Styles (LB) to pair with Parsons. If CLE stays, options are Tate (WR) or Fano (OT). Styles-via-trade wins consensus.</t>
  </si>
  <si>
    <t>WAS — Tate (WR) / Love (RB)</t>
  </si>
  <si>
    <t>Brugler: Love — WAS backfield weak; pair with Jayden Daniels.</t>
  </si>
  <si>
    <t>Brugler 1st: Same — Love.</t>
  </si>
  <si>
    <t>ESPN Scouts: Tate — Daniels needs WR1.</t>
  </si>
  <si>
    <t>Kiper: Tate — WR1 for Daniels, obvious fit.</t>
  </si>
  <si>
    <t>McShay: NYJ trades up to #7 for Tate; WAS slides to #16.</t>
  </si>
  <si>
    <t>Schrager: Styles — LB need on Dan Quinn defense.</t>
  </si>
  <si>
    <t>Reuter: Delane — CB1 for depleted Washington secondary.</t>
  </si>
  <si>
    <t>Reuter 5rd: Delane.</t>
  </si>
  <si>
    <t>Locker: Tate — WR value; Daniels weapons.</t>
  </si>
  <si>
    <t>Carragher: Tate — positional value WR.</t>
  </si>
  <si>
    <t>Renner: Tate — scheme fit.</t>
  </si>
  <si>
    <t>Podell: Love — RB for offense.</t>
  </si>
  <si>
    <t>Iyer: Downs — safety need.</t>
  </si>
  <si>
    <t>Walter WF: Styles — Quinn LB fit.</t>
  </si>
  <si>
    <t>Campbell WF: Styles — LB fit.</t>
  </si>
  <si>
    <t>Davenport: Delane — fan vote CB.</t>
  </si>
  <si>
    <t>Band: Delane — combine CB1.</t>
  </si>
  <si>
    <t>Draft Labs: Delane — aggregator.</t>
  </si>
  <si>
    <t>Mock DB: Delane — consensus.</t>
  </si>
  <si>
    <t>Commanders focus on Jayden Daniels: Tate (WR1 weapon) or Love (RB). Tate wins 6-5 among analysts; Quinn defense alternatives (Styles LB, Delane CB) also popular. McShay sees NYJ trade-up.</t>
  </si>
  <si>
    <t>NO — Bain Jr. (EDGE, Miami)</t>
  </si>
  <si>
    <t>Brugler: Tate — NO needs WR after Olave drama.</t>
  </si>
  <si>
    <t>Brugler 1st: Same — Tate.</t>
  </si>
  <si>
    <t>ESPN Scouts: Bain Jr. — 'best pure pass rusher available.'</t>
  </si>
  <si>
    <t>Kiper: Bain Jr. — EDGE need on aging defense.</t>
  </si>
  <si>
    <t>McShay: Fano (OT) — ARI trades up here; scheme cascade.</t>
  </si>
  <si>
    <t>Schrager: Bain Jr. — replaces Cam Jordan era.</t>
  </si>
  <si>
    <t>Reuter: Downs — safety after Mathieu era.</t>
  </si>
  <si>
    <t>Reuter 5rd: Downs.</t>
  </si>
  <si>
    <t>Locker: Delane — CB1 value.</t>
  </si>
  <si>
    <t>Carragher: Delane — PFF favorite.</t>
  </si>
  <si>
    <t>Renner: Tate — WR fit.</t>
  </si>
  <si>
    <t>Podell: Downs — team need.</t>
  </si>
  <si>
    <t>Iyer: Bain Jr. — EDGE priority.</t>
  </si>
  <si>
    <t>Walter WF: Downs — secondary help.</t>
  </si>
  <si>
    <t>Campbell WF: Downs — safety need.</t>
  </si>
  <si>
    <t>Davenport: Bain Jr. — fan vote.</t>
  </si>
  <si>
    <t>Band: Bain Jr. — combine EDGE.</t>
  </si>
  <si>
    <t>Draft Labs: Bain Jr. — plurality.</t>
  </si>
  <si>
    <t>Mock DB: Bain Jr. — consensus.</t>
  </si>
  <si>
    <t>Saints need pass rush, WR, and safety. Bain Jr. (local Miami EDGE) wins 9-3-5 — replaces aging defensive front. Downs (S) and Tate (WR) are alternatives.</t>
  </si>
  <si>
    <t>KC — Tyson (WR) / Bain Jr. (EDGE)</t>
  </si>
  <si>
    <t>Brugler: Bain Jr. — Chris Jones needs pass-rush help, KC doubles down on DL.</t>
  </si>
  <si>
    <t>Brugler 1st: Same — Bain Jr.</t>
  </si>
  <si>
    <t>ESPN Scouts: Tyson — 'Mahomes needs WR1 after Rice drama.'</t>
  </si>
  <si>
    <t>Kiper: Tyson — Mahomes WR after trading Rashee.</t>
  </si>
  <si>
    <t>McShay: Tyson — WR priority, KC has EDGE capital.</t>
  </si>
  <si>
    <t>Schrager: Tyson — 'KC told me they want the WR here.'</t>
  </si>
  <si>
    <t>Reuter: Bain Jr. — EDGE need.</t>
  </si>
  <si>
    <t>Reuter 5rd: Bain Jr.</t>
  </si>
  <si>
    <t>Locker: Bailey (EDGE trade up) — KC aggressive for pass rush.</t>
  </si>
  <si>
    <t>Carragher: Bain Jr. — PFF value.</t>
  </si>
  <si>
    <t>Renner: Bain Jr. — positional value.</t>
  </si>
  <si>
    <t>Podell: Styles (LB) — KC LB need.</t>
  </si>
  <si>
    <t>Iyer: Delane — CB depth.</t>
  </si>
  <si>
    <t>Walter WF: Bain Jr. — EDGE priority.</t>
  </si>
  <si>
    <t>Campbell WF: Bain Jr. — EDGE.</t>
  </si>
  <si>
    <t>Davenport: Tyson — fan vote.</t>
  </si>
  <si>
    <t>Band: Tyson — combine 4.38 40.</t>
  </si>
  <si>
    <t>Draft Labs: Tyson — aggregator.</t>
  </si>
  <si>
    <t>Mock DB: Delane — consensus lean.</t>
  </si>
  <si>
    <t>KC split between WR (Tyson) for Mahomes and EDGE (Bain Jr.) for Chris Jones help. Tyson narrowly wins — analysts lean on 'Mahomes needs weapons' narrative.</t>
  </si>
  <si>
    <t>CIN — Delane (CB, LSU)</t>
  </si>
  <si>
    <t>Brugler: Delane — CIN secondary disaster; elite cover CB.</t>
  </si>
  <si>
    <t>Brugler 1st: Delane — same.</t>
  </si>
  <si>
    <t>ESPN Scouts: Delane — 'Bengals have to fix corner.'</t>
  </si>
  <si>
    <t>Kiper: Delane — Cincy's worst unit.</t>
  </si>
  <si>
    <t>McShay: Downs (S) — alt DB, safety value higher.</t>
  </si>
  <si>
    <t>Schrager: Delane — 'sources say CIN locked in on CB.'</t>
  </si>
  <si>
    <t>Reuter: McCoy (CB) — Tennessee CB same value tier.</t>
  </si>
  <si>
    <t>Reuter 5rd: McCoy.</t>
  </si>
  <si>
    <t>Locker: Bain Jr. — EDGE instead; Delane value tier shifts.</t>
  </si>
  <si>
    <t>Carragher: Bain Jr. — PFF alt.</t>
  </si>
  <si>
    <t>Renner: Delane — CB need.</t>
  </si>
  <si>
    <t>Podell: McCoy — CB2 option.</t>
  </si>
  <si>
    <t>Iyer: Woods (CB) — alt CB.</t>
  </si>
  <si>
    <t>Walter WF: Delane — CB1 fit.</t>
  </si>
  <si>
    <t>Campbell WF: Delane — CB.</t>
  </si>
  <si>
    <t>Davenport: Downs — fan vote safety.</t>
  </si>
  <si>
    <t>Band: Downs — combine S1.</t>
  </si>
  <si>
    <t>Mock DB: McCoy — consensus CB.</t>
  </si>
  <si>
    <t>Bengals CB disaster drives this pick. Delane (LSU) wins 9 mocks as CB1; McCoy (Tennessee) gets 4 as alt CB; Downs (S) fallback. Every analyst agrees: secondary.</t>
  </si>
  <si>
    <t>MIA — Faulk (EDGE, Auburn) / Mauigoa (OT)</t>
  </si>
  <si>
    <t>Brugler: Faulk — EDGE opposite Chop Robinson; MIA defense needs rush.</t>
  </si>
  <si>
    <t>Brugler 1st: Same — Faulk.</t>
  </si>
  <si>
    <t>ESPN Scouts: N/A (top-10 only).</t>
  </si>
  <si>
    <t>Kiper: Mauigoa — Tua protection priority.</t>
  </si>
  <si>
    <t>McShay: Delane — CB fit.</t>
  </si>
  <si>
    <t>Schrager: Tate — WR depth.</t>
  </si>
  <si>
    <t>Reuter: Tate — WR.</t>
  </si>
  <si>
    <t>Reuter 5rd: Tate.</t>
  </si>
  <si>
    <t>Locker: Lemon (WR) — WR value tier.</t>
  </si>
  <si>
    <t>Carragher: Lemon — WR value.</t>
  </si>
  <si>
    <t>Renner: Delane — CB.</t>
  </si>
  <si>
    <t>Podell: Delane — CB need.</t>
  </si>
  <si>
    <t>Iyer: Mauigoa — OT1 available.</t>
  </si>
  <si>
    <t>Walter WF: Lemon — WR.</t>
  </si>
  <si>
    <t>Campbell WF: Lemon — WR.</t>
  </si>
  <si>
    <t>Davenport: Mauigoa — fan OT.</t>
  </si>
  <si>
    <t>Band: Mauigoa — OT.</t>
  </si>
  <si>
    <t>Draft Labs: Mauigoa — aggregator.</t>
  </si>
  <si>
    <t>Mock DB: Mauigoa — consensus.</t>
  </si>
  <si>
    <t>Miami has multiple needs: EDGE (Faulk), OT (Mauigoa), CB (Delane), WR (Tate/Lemon). Brugler is alone on Faulk — most analysts lean OT Mauigoa for Tua protection.</t>
  </si>
  <si>
    <t>DAL — Fano / Proctor (OT via CLE trade)</t>
  </si>
  <si>
    <t>Brugler: Fano (via CLE trade) — DAL trades DOWN #6→#12, takes OT.</t>
  </si>
  <si>
    <t>Brugler 1st: Same — Fano via CLE trade.</t>
  </si>
  <si>
    <t>ESPN Scouts: N/A.</t>
  </si>
  <si>
    <t>Kiper: Proctor (via CLE trade) — DAL traded up from here.</t>
  </si>
  <si>
    <t>McShay: Proctor — CLE trade makes OT pick cleaner.</t>
  </si>
  <si>
    <t>Schrager: Downs — BPA safety.</t>
  </si>
  <si>
    <t>Reuter: Styles — LB fit.</t>
  </si>
  <si>
    <t>Reuter 5rd: Styles.</t>
  </si>
  <si>
    <t>Locker: Styles — PFF LB grade.</t>
  </si>
  <si>
    <t>Carragher: Styles — positional value.</t>
  </si>
  <si>
    <t>Renner: Styles — LB need after Parsons.</t>
  </si>
  <si>
    <t>Podell: Bain Jr. — EDGE pair for Parsons replacement.</t>
  </si>
  <si>
    <t>Iyer: McCoy — CB.</t>
  </si>
  <si>
    <t>Walter WF: Mauigoa — OT fit.</t>
  </si>
  <si>
    <t>Campbell WF: Mauigoa — OT.</t>
  </si>
  <si>
    <t>Davenport: McCoy — CB fan vote.</t>
  </si>
  <si>
    <t>Band: Styles — LB.</t>
  </si>
  <si>
    <t>Draft Labs: Downs — aggregator.</t>
  </si>
  <si>
    <t>Mock DB: Thieneman — S consensus.</t>
  </si>
  <si>
    <t>DAL's pick depends on whether they trade up to #6 (Brugler/Kiper/McShay scenarios: OT Fano/Proctor target) or stay at #12 (Styles LB most common). Post-Parsons trade, LB/DL heavy.</t>
  </si>
  <si>
    <t>LAR — Lemon (WR, USC) / Tyson / Fano</t>
  </si>
  <si>
    <t>Brugler: Tyson — local LA WR, McVay weapons.</t>
  </si>
  <si>
    <t>Brugler 1st: Same — Tyson.</t>
  </si>
  <si>
    <t>Kiper: Lemon — local USC WR, Stafford weapon.</t>
  </si>
  <si>
    <t>McShay: Lemon — WR1 for Stafford's farewell tour.</t>
  </si>
  <si>
    <t>Schrager: Lemon — 'LAR told me WR is priority.'</t>
  </si>
  <si>
    <t>Reuter: Fano (DET trade up from #17) — OT value.</t>
  </si>
  <si>
    <t>Reuter 5rd: Fano — stays.</t>
  </si>
  <si>
    <t>Locker: Fano — OT2 value.</t>
  </si>
  <si>
    <t>Carragher: Fano — OT.</t>
  </si>
  <si>
    <t>Renner: Lemon — WR.</t>
  </si>
  <si>
    <t>Podell: Lemon — WR.</t>
  </si>
  <si>
    <t>Iyer: Fano — OT need.</t>
  </si>
  <si>
    <t>Walter WF: Tyson — WR.</t>
  </si>
  <si>
    <t>Campbell WF: Tyson — WR.</t>
  </si>
  <si>
    <t>Davenport: Fano — fan OT.</t>
  </si>
  <si>
    <t>Band: Lemon — WR.</t>
  </si>
  <si>
    <t>Draft Labs: Lemon — aggregator.</t>
  </si>
  <si>
    <t>Mock DB: Lemon — consensus.</t>
  </si>
  <si>
    <t>LAR wants WR or OT. Lemon (USC) gets 9 mocks — local tie + Stafford weapon logic. Fano (OT) gets 6. Tyson alt WR scenario also common.</t>
  </si>
  <si>
    <t>BAL — Sadiq (TE, Oregon)</t>
  </si>
  <si>
    <t>Brugler: Sadiq — Mark Andrews aging; TE1 of class.</t>
  </si>
  <si>
    <t>Brugler 1st: Same — Sadiq.</t>
  </si>
  <si>
    <t>Kiper: Fano — OT need bigger than TE.</t>
  </si>
  <si>
    <t>McShay: Bain Jr. — EDGE depth.</t>
  </si>
  <si>
    <t>Schrager: Sadiq — 'BAL front office loves him.'</t>
  </si>
  <si>
    <t>Reuter: Ioane (OG) — OL interior.</t>
  </si>
  <si>
    <t>Reuter 5rd: Ioane.</t>
  </si>
  <si>
    <t>Locker: Ioane — PFF OG.</t>
  </si>
  <si>
    <t>Carragher: Ioane — OG value.</t>
  </si>
  <si>
    <t>Renner: Sadiq — TE value.</t>
  </si>
  <si>
    <t>Podell: Ioane — OG need.</t>
  </si>
  <si>
    <t>Iyer: Freeling — OT.</t>
  </si>
  <si>
    <t>Walter WF: Sadiq — TE.</t>
  </si>
  <si>
    <t>Campbell WF: Sadiq — TE.</t>
  </si>
  <si>
    <t>Davenport: Ioane — OG fan vote.</t>
  </si>
  <si>
    <t>Band: Woods — CB alt.</t>
  </si>
  <si>
    <t>Draft Labs: Ioane — aggregator.</t>
  </si>
  <si>
    <t>Mock DB: Sadiq — consensus.</t>
  </si>
  <si>
    <t>Ravens split TE (Sadiq for post-Andrews) vs OG (Ioane for interior OL). Sadiq wins on team-need narrative around aging Andrews.</t>
  </si>
  <si>
    <t>TB — Ioane (OG, Penn State)</t>
  </si>
  <si>
    <t>Brugler: Ioane — TB OL interior disaster.</t>
  </si>
  <si>
    <t>Brugler 1st: Same — Ioane.</t>
  </si>
  <si>
    <t>Kiper: Sadiq — TE for Mayfield.</t>
  </si>
  <si>
    <t>McShay: Mesidor (EDGE) — pass rush.</t>
  </si>
  <si>
    <t>Schrager: McCoy — CB fit.</t>
  </si>
  <si>
    <t>Reuter: Mesidor — EDGE.</t>
  </si>
  <si>
    <t>Reuter 5rd: Mesidor.</t>
  </si>
  <si>
    <t>Locker: Sadiq — TE fit.</t>
  </si>
  <si>
    <t>Carragher: Sadiq — PFF TE.</t>
  </si>
  <si>
    <t>Renner: Ioane — OG.</t>
  </si>
  <si>
    <t>Podell: Mesidor — EDGE.</t>
  </si>
  <si>
    <t>Iyer: Sadiq — TE.</t>
  </si>
  <si>
    <t>Walter WF: Allen — TB local.</t>
  </si>
  <si>
    <t>Campbell WF: Howell — CB.</t>
  </si>
  <si>
    <t>Davenport: Mesidor — EDGE fan.</t>
  </si>
  <si>
    <t>Band: Sadiq — TE.</t>
  </si>
  <si>
    <t>TB OL needs drive Ioane pick (5 mocks); Sadiq TE (6 mocks) for Mayfield; Mesidor (5 mocks) alt EDGE. Very fragmented — team direction unclear.</t>
  </si>
  <si>
    <t>NYJ via IND — Cooper Jr. (WR, Indiana)</t>
  </si>
  <si>
    <t>Brugler: Lemon — WR for Jets offense.</t>
  </si>
  <si>
    <t>Brugler 1st: Same — Lemon.</t>
  </si>
  <si>
    <t>Kiper: Cooper Jr. — WR1 fit.</t>
  </si>
  <si>
    <t>McShay: Cooper Jr. — WR for Fields/whoever.</t>
  </si>
  <si>
    <t>Schrager: Cooper Jr. — 'NYJ need WR2.'</t>
  </si>
  <si>
    <t>Reuter: Simpson (QB) — NYJ takes dev QB.</t>
  </si>
  <si>
    <t>Reuter 5rd: Simpson.</t>
  </si>
  <si>
    <t>Locker: Tyson — WR value.</t>
  </si>
  <si>
    <t>Carragher: Tyson — PFF.</t>
  </si>
  <si>
    <t>Podell: Tyson — WR.</t>
  </si>
  <si>
    <t>Iyer: Lemon — WR.</t>
  </si>
  <si>
    <t>Solak: Simpson — QB-only mock puts him here.</t>
  </si>
  <si>
    <t>Walter WF: McCoy — CB.</t>
  </si>
  <si>
    <t>Campbell WF: McCoy — CB.</t>
  </si>
  <si>
    <t>Davenport: Lemon — fan WR.</t>
  </si>
  <si>
    <t>Band: Tyson — combine WR.</t>
  </si>
  <si>
    <t>Mock DB: Cooper Jr. — consensus.</t>
  </si>
  <si>
    <t>NYJ's second first-round pick: WR heavy. Cooper Jr. (Indiana WR, teammate of Mendoza) is popular narrative pick. Lemon (USC) and Tyson (ASU) also options. Reuter sees QB development pick (Simpson).</t>
  </si>
  <si>
    <t>DET — Freeling (OT, Georgia)</t>
  </si>
  <si>
    <t>Brugler: Freeling — DET OL future after Decker/Ragnow aging.</t>
  </si>
  <si>
    <t>Brugler 1st: Same — Freeling.</t>
  </si>
  <si>
    <t>Kiper: Freeling — OT insurance.</t>
  </si>
  <si>
    <t>McShay: Blake Miller (OT) — similar OL pick.</t>
  </si>
  <si>
    <t>Schrager: Ioane — OG alt.</t>
  </si>
  <si>
    <t>Reuter: Cooper Jr. (LAR trade up) — LAR jumps for WR; DET trades DOWN.</t>
  </si>
  <si>
    <t>Reuter 5rd: Same — Cooper Jr. via LAR trade up.</t>
  </si>
  <si>
    <t>Locker: Thieneman (PHI trade up) — PFF scenario, S pick for PHI.</t>
  </si>
  <si>
    <t>Carragher: Freeling — OT.</t>
  </si>
  <si>
    <t>Renner: Freeling — OT.</t>
  </si>
  <si>
    <t>Podell: Proctor — OT2.</t>
  </si>
  <si>
    <t>Iyer: Ioane — OG.</t>
  </si>
  <si>
    <t>Walter WF: Proctor — OT.</t>
  </si>
  <si>
    <t>Campbell WF: Proctor — OT.</t>
  </si>
  <si>
    <t>Davenport: Freeling — fan OT.</t>
  </si>
  <si>
    <t>Band: Mauigoa — OT slide.</t>
  </si>
  <si>
    <t>Draft Labs: Freeling — aggregator.</t>
  </si>
  <si>
    <t>Mock DB: Proctor — consensus.</t>
  </si>
  <si>
    <t>DET clearly targets OL future. Freeling (Georgia) most common (8 mocks); Proctor alternative. Reuter sees trade-down scenario with LAR jumping up for Cooper Jr. (WR).</t>
  </si>
  <si>
    <t>MIN — McCoy (CB, Tennessee) / Thieneman (S)</t>
  </si>
  <si>
    <t>Brugler: McCoy — CB need, Flores defense.</t>
  </si>
  <si>
    <t>Brugler 1st: Same — McCoy.</t>
  </si>
  <si>
    <t>Kiper: Thieneman — S for Flores.</t>
  </si>
  <si>
    <t>McShay: Boston (WR) — JJ's successor.</t>
  </si>
  <si>
    <t>Schrager: Thieneman — S fit.</t>
  </si>
  <si>
    <t>Reuter: Banks (OG) — OL.</t>
  </si>
  <si>
    <t>Reuter 5rd: Banks.</t>
  </si>
  <si>
    <t>Locker: McCoy — PFF CB.</t>
  </si>
  <si>
    <t>Carragher: McCoy — value.</t>
  </si>
  <si>
    <t>Renner: Thieneman — S fit.</t>
  </si>
  <si>
    <t>Podell: Thieneman — S.</t>
  </si>
  <si>
    <t>Iyer: Thieneman — S.</t>
  </si>
  <si>
    <t>Walter WF: Woods — CB.</t>
  </si>
  <si>
    <t>Campbell WF: Woods — CB.</t>
  </si>
  <si>
    <t>Davenport: Thieneman — fan S.</t>
  </si>
  <si>
    <t>Band: Banks — combine OG.</t>
  </si>
  <si>
    <t>Draft Labs: Thieneman — aggregator.</t>
  </si>
  <si>
    <t>Mock DB: Thieneman — consensus.</t>
  </si>
  <si>
    <t>Vikings Flores defense needs DB help. McCoy (CB) wins Brugler's vote; Thieneman (S) gets 8 mocks — most common. Banks (OG) is outlier OL pick from Reuter.</t>
  </si>
  <si>
    <t>CAR — Thieneman (S) / Sadiq (TE)</t>
  </si>
  <si>
    <t>Brugler: Thieneman — S for Evero defense.</t>
  </si>
  <si>
    <t>Kiper: McNeil-Warren — S alt.</t>
  </si>
  <si>
    <t>McShay: Sadiq — TE for Bryce Young.</t>
  </si>
  <si>
    <t>Schrager: Freeling — OT protection.</t>
  </si>
  <si>
    <t>Reuter: Sadiq — TE.</t>
  </si>
  <si>
    <t>Reuter 5rd: Sadiq.</t>
  </si>
  <si>
    <t>Locker: Blake Miller (OT) — OL for Young.</t>
  </si>
  <si>
    <t>Carragher: Blake Miller — same.</t>
  </si>
  <si>
    <t>Renner: Sadiq — TE fit.</t>
  </si>
  <si>
    <t>Podell: Sadiq — TE.</t>
  </si>
  <si>
    <t>Iyer: Tyson — WR.</t>
  </si>
  <si>
    <t>Walter WF: Blake Miller — OT.</t>
  </si>
  <si>
    <t>Campbell WF: Blake Miller — OT.</t>
  </si>
  <si>
    <t>Davenport: Sadiq — fan TE.</t>
  </si>
  <si>
    <t>Draft Labs: Sadiq — aggregator.</t>
  </si>
  <si>
    <t>Mock DB: Tyson — WR consensus.</t>
  </si>
  <si>
    <t>Panthers balance Bryce Young support (TE Sadiq, OT Blake Miller, WR Tyson) vs defense (S Thieneman). Sadiq wins with 8 mocks — TE1 for young QB narrative.</t>
  </si>
  <si>
    <t>DAL via GB — Concepcion / Boston (WR, CLE trade)</t>
  </si>
  <si>
    <t>Brugler: Concepcion (CLE trade) — DAL trades for CLE's #24 + 4th to jump 4 spots for WR.</t>
  </si>
  <si>
    <t>Brugler 1st: Same — Concepcion via CLE trade.</t>
  </si>
  <si>
    <t>Kiper: Boston (CLE trade) — same trade structure, different WR target.</t>
  </si>
  <si>
    <t>McShay: McCoy — CB stay pick.</t>
  </si>
  <si>
    <t>Schrager: Mesidor — EDGE.</t>
  </si>
  <si>
    <t>Reuter: Proctor (KC trade up) — KC jumps for OT.</t>
  </si>
  <si>
    <t>Reuter 5rd: Proctor via KC trade.</t>
  </si>
  <si>
    <t>Locker: Mesidor — EDGE.</t>
  </si>
  <si>
    <t>Carragher: Mesidor — EDGE.</t>
  </si>
  <si>
    <t>Renner: Faulk — EDGE.</t>
  </si>
  <si>
    <t>Podell: Hood — CB.</t>
  </si>
  <si>
    <t>Iyer: Mesidor — EDGE.</t>
  </si>
  <si>
    <t>Walter WF: Ioane — OG.</t>
  </si>
  <si>
    <t>Campbell WF: Ioane — OG.</t>
  </si>
  <si>
    <t>Davenport: Allen — fan pick.</t>
  </si>
  <si>
    <t>Band: Hood — CB.</t>
  </si>
  <si>
    <t>Draft Labs: Mesidor — EDGE.</t>
  </si>
  <si>
    <t>Mock DB: Faulk — EDGE.</t>
  </si>
  <si>
    <t>Cowboys pick via Packers. Multiple trade-out scenarios (CLE trades up for WR, KC trades up for OT). If DAL keeps, fragmented between WR/EDGE/CB. Concepcion consensus when CLE trade hits.</t>
  </si>
  <si>
    <t>PIT — Cooper Jr. (WR) / Ioane (OG) / Blake Miller (OT)</t>
  </si>
  <si>
    <t>Brugler: Cooper Jr. — Rodgers successor QB weapon.</t>
  </si>
  <si>
    <t>Brugler 1st: Same — Cooper Jr.</t>
  </si>
  <si>
    <t>Kiper: Ioane — OG.</t>
  </si>
  <si>
    <t>McShay: Ioane — OG interior.</t>
  </si>
  <si>
    <t>Schrager: Parker (EDGE) — rush.</t>
  </si>
  <si>
    <t>Reuter: Blake Miller (OT) — OL.</t>
  </si>
  <si>
    <t>Reuter 5rd: Blake Miller.</t>
  </si>
  <si>
    <t>Locker: Cooper Jr. — WR.</t>
  </si>
  <si>
    <t>Carragher: Cooper Jr. — WR.</t>
  </si>
  <si>
    <t>Renner: Blake Miller — OT.</t>
  </si>
  <si>
    <t>Podell: McNeil-Warren — S.</t>
  </si>
  <si>
    <t>Iyer: Blake Miller — OT.</t>
  </si>
  <si>
    <t>Davenport: Proctor — fan OT.</t>
  </si>
  <si>
    <t>Band: Simpson — QB dev.</t>
  </si>
  <si>
    <t>Draft Labs: Cooper Jr. — aggregator.</t>
  </si>
  <si>
    <t>Mock DB: Simpson — QB consensus.</t>
  </si>
  <si>
    <t>Steelers balance WR (Cooper Jr. for whoever throws), OL (Ioane OG or Blake Miller OT), and QB dev (Simpson). Cooper Jr. gets 6 mocks — WR weapon narrative.</t>
  </si>
  <si>
    <t>LAC — Mesidor (EDGE) / Woods (CB)</t>
  </si>
  <si>
    <t>Brugler: Mesidor — EDGE fit.</t>
  </si>
  <si>
    <t>Kiper: Woods — CB need.</t>
  </si>
  <si>
    <t>McShay: Thieneman (CHI trade up) — CHI trades for S.</t>
  </si>
  <si>
    <t>Schrager: Miller (OT) — protect Herbert.</t>
  </si>
  <si>
    <t>Reuter: Howell (CLE trade up) — CLE trades for CB.</t>
  </si>
  <si>
    <t>Reuter 5rd: Same — Howell.</t>
  </si>
  <si>
    <t>Locker: Banks — OG.</t>
  </si>
  <si>
    <t>Carragher: Banks — OG.</t>
  </si>
  <si>
    <t>Renner: Mesidor — EDGE.</t>
  </si>
  <si>
    <t>Podell: Howell — CB.</t>
  </si>
  <si>
    <t>Iyer: Terrell (CB) — CB.</t>
  </si>
  <si>
    <t>Walter WF: McDonald — CB.</t>
  </si>
  <si>
    <t>Campbell WF: McDonald — CB.</t>
  </si>
  <si>
    <t>Davenport: Pregnon — fan OG.</t>
  </si>
  <si>
    <t>Draft Labs: Mesidor — aggregator.</t>
  </si>
  <si>
    <t>Mock DB: Woods — CB.</t>
  </si>
  <si>
    <t>Chargers have multiple needs. Mesidor (EDGE) wins 5; CB options (Woods/Howell/Terrell/McDonald) spread across 7 mocks. Trade-up scenarios (CHI, CLE) common here.</t>
  </si>
  <si>
    <t>PHI — Proctor (OT, Alabama)</t>
  </si>
  <si>
    <t>Brugler: Proctor — PHI OL future.</t>
  </si>
  <si>
    <t>Kiper: Blake Miller — OT alt.</t>
  </si>
  <si>
    <t>McShay: Freeling — OT.</t>
  </si>
  <si>
    <t>Schrager: Boston — WR weapon.</t>
  </si>
  <si>
    <t>Reuter: Lemon — WR.</t>
  </si>
  <si>
    <t>Reuter 5rd: Lemon.</t>
  </si>
  <si>
    <t>Locker: Freeling — OT.</t>
  </si>
  <si>
    <t>Renner: Terrell — CB.</t>
  </si>
  <si>
    <t>Podell: Freeling — OT.</t>
  </si>
  <si>
    <t>Iyer: McNeil-Warren — S.</t>
  </si>
  <si>
    <t>Walter WF: Lomu — OT.</t>
  </si>
  <si>
    <t>Campbell WF: Lomu — OT.</t>
  </si>
  <si>
    <t>Davenport: Iheanachor — fan OT.</t>
  </si>
  <si>
    <t>Band: Terrell — CB.</t>
  </si>
  <si>
    <t>Draft Labs: Proctor — aggregator.</t>
  </si>
  <si>
    <t>Mock DB: Iheanachor — OT consensus.</t>
  </si>
  <si>
    <t>Eagles lean OT heavy across analysts — Proctor, Blake Miller, Freeling, Lomu, Iheanachor all appear. Howie Roseman loves trenches. OT pick in some form is consensus.</t>
  </si>
  <si>
    <t>CLE via JAX — McNeil-Warren (S)</t>
  </si>
  <si>
    <t>Brugler: McNeil-Warren — S depth.</t>
  </si>
  <si>
    <t>Kiper: McCoy — CB.</t>
  </si>
  <si>
    <t>McShay: Concepcion — WR (via DAL trade).</t>
  </si>
  <si>
    <t>Schrager: Concepcion — WR.</t>
  </si>
  <si>
    <t>Reuter: Tyson (LAC trade up) — LAC jumps for WR.</t>
  </si>
  <si>
    <t>Reuter 5rd: Howell — CB.</t>
  </si>
  <si>
    <t>Locker: Faulk — EDGE.</t>
  </si>
  <si>
    <t>Carragher: Faulk — EDGE.</t>
  </si>
  <si>
    <t>Renner: Concepcion — WR.</t>
  </si>
  <si>
    <t>Podell: Cooper Jr. — WR.</t>
  </si>
  <si>
    <t>Iyer: Lomu — OT.</t>
  </si>
  <si>
    <t>Walter WF: Freeling — OT.</t>
  </si>
  <si>
    <t>Campbell WF: Freeling — OT.</t>
  </si>
  <si>
    <t>Davenport: Lomu — fan OT.</t>
  </si>
  <si>
    <t>Band: Proctor — OT.</t>
  </si>
  <si>
    <t>Draft Labs: McNeil-Warren — aggregator.</t>
  </si>
  <si>
    <t>Mock DB: Concepcion — WR consensus.</t>
  </si>
  <si>
    <t>Browns' second first-rounder — highly fragmented. WR (Concepcion/Cooper Jr.), OT (Freeling/Lomu), S (McNeil-Warren), CB (McCoy/Howell), EDGE (Faulk). Depends on what went at #6.</t>
  </si>
  <si>
    <t>CHI — Parker (EDGE, Clemson)</t>
  </si>
  <si>
    <t>Brugler: Parker — EDGE opposite Sweat.</t>
  </si>
  <si>
    <t>Brugler 1st: Same — Parker.</t>
  </si>
  <si>
    <t>Kiper: Young (DT) — interior DL.</t>
  </si>
  <si>
    <t>McShay: Johnson DT (LAC trade) — LAC jumps for interior DL.</t>
  </si>
  <si>
    <t>Schrager: Proctor — OT for Williams.</t>
  </si>
  <si>
    <t>Reuter: Concepcion (BUF trade up) — BUF jumps for WR.</t>
  </si>
  <si>
    <t>Reuter 5rd: Concepcion — BUF trade.</t>
  </si>
  <si>
    <t>Locker: McNeil-Warren — S.</t>
  </si>
  <si>
    <t>Carragher: McNeil-Warren — S.</t>
  </si>
  <si>
    <t>Renner: McDonald — CB.</t>
  </si>
  <si>
    <t>Podell: Lomu — OT.</t>
  </si>
  <si>
    <t>Iyer: Faulk — EDGE.</t>
  </si>
  <si>
    <t>Walter WF: Faulk — EDGE.</t>
  </si>
  <si>
    <t>Campbell WF: Faulk — EDGE.</t>
  </si>
  <si>
    <t>Davenport: McNeil-Warren — fan S.</t>
  </si>
  <si>
    <t>Band: Washington (DT) — combine DT.</t>
  </si>
  <si>
    <t>Draft Labs: Parker — aggregator.</t>
  </si>
  <si>
    <t>Mock DB: Parker — consensus.</t>
  </si>
  <si>
    <t>Bears have multiple needs. Parker (EDGE) gets 5 mocks — pass rush priority. Alt scenarios include BUF trade-up for WR (Reuter x2), interior DL (Young/Washington/Johnson). Very fragmented.</t>
  </si>
  <si>
    <t>BUF — Lawrence (EDGE, UCF) / Faulk (EDGE)</t>
  </si>
  <si>
    <t>Brugler: Lawrence — EDGE depth.</t>
  </si>
  <si>
    <t>Brugler 1st: Same — Lawrence.</t>
  </si>
  <si>
    <t>Kiper: Faulk — EDGE.</t>
  </si>
  <si>
    <t>McShay: Faulk — EDGE.</t>
  </si>
  <si>
    <t>Schrager: McDonald — CB.</t>
  </si>
  <si>
    <t>Reuter: Thieneman (CHI trade up) — CHI jumps for S.</t>
  </si>
  <si>
    <t>Reuter 5rd: Thieneman — CHI trade.</t>
  </si>
  <si>
    <t>Locker: Terrell (CAR trade up) — CAR jumps.</t>
  </si>
  <si>
    <t>Renner: Allen — DT.</t>
  </si>
  <si>
    <t>Podell: Faulk — EDGE.</t>
  </si>
  <si>
    <t>Iyer: Howell — CB.</t>
  </si>
  <si>
    <t>Walter WF: Boston — WR.</t>
  </si>
  <si>
    <t>Campbell WF: Boston — WR.</t>
  </si>
  <si>
    <t>Davenport: Cooper Jr. — fan WR.</t>
  </si>
  <si>
    <t>Band: Boston — WR.</t>
  </si>
  <si>
    <t>Draft Labs: Lawrence — aggregator.</t>
  </si>
  <si>
    <t>Mock DB: Howell — CB.</t>
  </si>
  <si>
    <t>Bills need EDGE help with Von Miller era ending. Lawrence (UCF — Brugler sole) and Faulk (Auburn — 5 mocks) lead. Trade-down scenarios with CHI/CAR common. CB and WR also options.</t>
  </si>
  <si>
    <t>SF — Lomu (OT, Utah)</t>
  </si>
  <si>
    <t>Brugler: Lomu — OT for Trent Williams successor.</t>
  </si>
  <si>
    <t>Brugler 1st: Same — Lomu.</t>
  </si>
  <si>
    <t>Kiper: Iheanachor — OT alt.</t>
  </si>
  <si>
    <t>McShay: Lomu — same logic.</t>
  </si>
  <si>
    <t>Schrager: Lomu — 'SF brass loves him.'</t>
  </si>
  <si>
    <t>Reuter: Iheanachor — OT.</t>
  </si>
  <si>
    <t>Reuter 5rd: Iheanachor.</t>
  </si>
  <si>
    <t>Locker: Iheanachor — OT.</t>
  </si>
  <si>
    <t>Carragher: Iheanachor — OT.</t>
  </si>
  <si>
    <t>Podell: Blake Miller — OT.</t>
  </si>
  <si>
    <t>Iyer: Proctor — OT.</t>
  </si>
  <si>
    <t>Walter WF: Concepcion — WR.</t>
  </si>
  <si>
    <t>Campbell WF: Concepcion — WR.</t>
  </si>
  <si>
    <t>Davenport: Concepcion — fan WR.</t>
  </si>
  <si>
    <t>Draft Labs: Lomu — aggregator.</t>
  </si>
  <si>
    <t>Mock DB: Lomu — consensus.</t>
  </si>
  <si>
    <t>49ers unanimous on OT (Trent Williams aging) — Lomu wins 8 mocks, Iheanachor alt 6, other OTs rotate. WR (Concepcion/Lemon) is secondary option.</t>
  </si>
  <si>
    <t>HOU — Bisontis (OG, Texas A&amp;M) / Iheanachor (OT)</t>
  </si>
  <si>
    <t>Brugler: Bisontis — OG for Stroud protection.</t>
  </si>
  <si>
    <t>Brugler 1st: Same — Bisontis.</t>
  </si>
  <si>
    <t>Kiper: Christen Miller (DT) — interior DL.</t>
  </si>
  <si>
    <t>McShay: Iheanachor — OT.</t>
  </si>
  <si>
    <t>Schrager: Iheanachor — OT.</t>
  </si>
  <si>
    <t>Reuter: Bisontis — OG.</t>
  </si>
  <si>
    <t>Reuter 5rd: Bisontis.</t>
  </si>
  <si>
    <t>Locker: Pregnon — OG.</t>
  </si>
  <si>
    <t>Carragher: Pregnon — OG.</t>
  </si>
  <si>
    <t>Renner: Banks — OG.</t>
  </si>
  <si>
    <t>Podell: Allen (DT) — interior DL.</t>
  </si>
  <si>
    <t>Iyer: McDonald — CB.</t>
  </si>
  <si>
    <t>Walter WF: Iheanachor — OT.</t>
  </si>
  <si>
    <t>Campbell WF: Iheanachor — OT.</t>
  </si>
  <si>
    <t>Davenport: Woods — fan CB.</t>
  </si>
  <si>
    <t>Band: McDonald — CB.</t>
  </si>
  <si>
    <t>Draft Labs: Bisontis — aggregator.</t>
  </si>
  <si>
    <t>Mock DB: McDonald — CB.</t>
  </si>
  <si>
    <t>Texans OL interior is top priority — Bisontis (4 mocks), Pregnon, Banks all OG options. Iheanachor (OT) also popular. DT and CB alt options.</t>
  </si>
  <si>
    <t>KC via LAR — Hood (CB, Tennessee)</t>
  </si>
  <si>
    <t>Brugler: Boston — WR for Mahomes.</t>
  </si>
  <si>
    <t>Brugler 1st: Same — Boston.</t>
  </si>
  <si>
    <t>Kiper: Hood — CB need.</t>
  </si>
  <si>
    <t>McShay: Hood — CB.</t>
  </si>
  <si>
    <t>Schrager: Hood — CB.</t>
  </si>
  <si>
    <t>Reuter: Hood (DAL trade) — DAL jumps for CB.</t>
  </si>
  <si>
    <t>Reuter 5rd: Hood — DAL trade.</t>
  </si>
  <si>
    <t>Locker: Howell (ARI trade up) — ARI jumps.</t>
  </si>
  <si>
    <t>Carragher: Howell — ARI trade.</t>
  </si>
  <si>
    <t>Renner: Simpson — QB dev for Mahomes successor.</t>
  </si>
  <si>
    <t>Iyer: Cooper Jr. — WR.</t>
  </si>
  <si>
    <t>Walter WF: Thieneman — S.</t>
  </si>
  <si>
    <t>Campbell WF: Thieneman — S.</t>
  </si>
  <si>
    <t>Davenport: Terrell — fan CB.</t>
  </si>
  <si>
    <t>Band: McNeil-Warren — S.</t>
  </si>
  <si>
    <t>Draft Labs: Hood — aggregator.</t>
  </si>
  <si>
    <t>Mock DB: Hood — consensus.</t>
  </si>
  <si>
    <t>KC's second first-rounder. Hood (CB) wins 8 mocks — Sneed replacement. Brugler dissents with Boston (WR). Trade scenarios: DAL up for CB, ARI up for CB (PFF).</t>
  </si>
  <si>
    <t>MIA via DEN — Johnson (CB) / Simpson (QB via ARI trade)</t>
  </si>
  <si>
    <t>Brugler: Johnson (CB, San Diego State) — CB need.</t>
  </si>
  <si>
    <t>Brugler 1st: Same — Johnson.</t>
  </si>
  <si>
    <t>Kiper: Simpson (ARI trade up) — ARI jumps for QB; MIA gets capital.</t>
  </si>
  <si>
    <t>McShay: Simpson (ARI trade up) — same logic.</t>
  </si>
  <si>
    <t>Schrager: Thieneman — S.</t>
  </si>
  <si>
    <t>Reuter: Faulk — EDGE.</t>
  </si>
  <si>
    <t>Reuter 5rd: Faulk.</t>
  </si>
  <si>
    <t>Locker: Hood — CB.</t>
  </si>
  <si>
    <t>Carragher: Hood — CB.</t>
  </si>
  <si>
    <t>Renner: McNeil-Warren — S.</t>
  </si>
  <si>
    <t>Podell: Concepcion — WR.</t>
  </si>
  <si>
    <t>Iyer: Concepcion — WR.</t>
  </si>
  <si>
    <t>Solak: Simpson — QB-only mock, ARI trade up for QB.</t>
  </si>
  <si>
    <t>Walter WF: Terrell — CB.</t>
  </si>
  <si>
    <t>Campbell WF: Terrell — CB.</t>
  </si>
  <si>
    <t>Davenport: Hood — fan CB.</t>
  </si>
  <si>
    <t>Band: Concepcion — WR.</t>
  </si>
  <si>
    <t>Draft Labs: Simpson — aggregator.</t>
  </si>
  <si>
    <t>Mock DB: Johnson — CB.</t>
  </si>
  <si>
    <t>2nd-MOST-MOCKED TRADE (4x): ARI trades from #30 back in for Ty Simpson (developmental QB). If MIA stays put, CB (Johnson, Hood) or S (Thieneman, McNeil-Warren) most likely.</t>
  </si>
  <si>
    <t>NE — Blake Miller (OT, Clemson)</t>
  </si>
  <si>
    <t>Brugler: Blake Miller — OT for Maye.</t>
  </si>
  <si>
    <t>Brugler 1st: Same — Blake Miller.</t>
  </si>
  <si>
    <t>Kiper: Mesidor — EDGE.</t>
  </si>
  <si>
    <t>McShay: McNeil-Warren — S.</t>
  </si>
  <si>
    <t>Schrager: Stowers (EDGE) — pass rush.</t>
  </si>
  <si>
    <t>Reuter: Allen (DT) — interior DL.</t>
  </si>
  <si>
    <t>Reuter 5rd: Allen.</t>
  </si>
  <si>
    <t>Locker: Golday — OL.</t>
  </si>
  <si>
    <t>Carragher: Golday — OL.</t>
  </si>
  <si>
    <t>Renner: Howell — CB.</t>
  </si>
  <si>
    <t>Podell: Boston — WR for Maye.</t>
  </si>
  <si>
    <t>Iyer: Allen — DT.</t>
  </si>
  <si>
    <t>Walter WF: McNeil-Warren — S.</t>
  </si>
  <si>
    <t>Campbell WF: McNeil-Warren — S.</t>
  </si>
  <si>
    <t>Davenport: McDonald — fan CB.</t>
  </si>
  <si>
    <t>Band: Howell — CB.</t>
  </si>
  <si>
    <t>Draft Labs: Blake Miller — aggregator.</t>
  </si>
  <si>
    <t>Mock DB: Blake Miller — OT consensus.</t>
  </si>
  <si>
    <t>Patriots support Maye: OT (Blake Miller — Brugler/aggregators) or WR (Boston — Podell). Very fragmented otherwise across EDGE/S/DT/CB. Blake Miller most common.</t>
  </si>
  <si>
    <t>SEA — Hood (CB) / Price (RB)</t>
  </si>
  <si>
    <t>Brugler: Hood — CB value.</t>
  </si>
  <si>
    <t>Brugler 1st: Same — Hood.</t>
  </si>
  <si>
    <t>Kiper: Price — RB for Seattle run game.</t>
  </si>
  <si>
    <t>McShay: Parker — EDGE fall.</t>
  </si>
  <si>
    <t>Schrager: Price — RB.</t>
  </si>
  <si>
    <t>Reuter: Johnson (CB) — CB.</t>
  </si>
  <si>
    <t>Reuter 5rd: Johnson.</t>
  </si>
  <si>
    <t>Locker: McDonald — CB.</t>
  </si>
  <si>
    <t>Carragher: McDonald — CB.</t>
  </si>
  <si>
    <t>Renner: Boston — WR.</t>
  </si>
  <si>
    <t>Podell: Terrell — CB.</t>
  </si>
  <si>
    <t>Iyer: Parker — EDGE.</t>
  </si>
  <si>
    <t>Walter WF: Hood — CB.</t>
  </si>
  <si>
    <t>Campbell WF: Hood — CB.</t>
  </si>
  <si>
    <t>Davenport: Johnson — fan CB.</t>
  </si>
  <si>
    <t>Draft Labs: Price — aggregator.</t>
  </si>
  <si>
    <t>Mock DB: Price — RB consensus.</t>
  </si>
  <si>
    <t>Seahawks close out Rd1 with either CB help (Hood, Johnson, McDonald, Terrell — combined 8 mocks) or RB (Price — Notre Dame, 4 mocks). Edge/WR alt scenarios. Very scattered — late-round noise.</t>
  </si>
  <si>
    <t>LEGEND &amp; READING GUIDE</t>
  </si>
  <si>
    <t>🟩 GREEN columns (C–H)</t>
  </si>
  <si>
    <t>Top-6 most credible analysts — these drive the consensus column W</t>
  </si>
  <si>
    <t>🟨 YELLOW column (W)</t>
  </si>
  <si>
    <t>Consensus reasoning: dominant logic synthesized across all 20 analysts</t>
  </si>
  <si>
    <t>🟦 BLUE columns (A–B)</t>
  </si>
  <si>
    <t>Pick number and consensus team/player from Sheet1</t>
  </si>
  <si>
    <t>N/A entries</t>
  </si>
  <si>
    <t>Analyst did not mock this pick (e.g., ESPN Scouts only did top 10; Solak QB-only)</t>
  </si>
  <si>
    <t>Trade notations</t>
  </si>
  <si>
    <t>(via X trade)' or '(X trade up)' indicates analyst mocked a trade at this pick</t>
  </si>
  <si>
    <t>TOTAL REASONING CELLS POPULATED:</t>
  </si>
  <si>
    <t>TOTAL EXPECTED CELLS (32 picks × 20 analysts):</t>
  </si>
  <si>
    <t>COVERAGE %:</t>
  </si>
  <si>
    <t>Reese (→ NO trade up)</t>
  </si>
  <si>
    <t>Love (→ TEN trade up)</t>
  </si>
  <si>
    <t>Reese (→ DAL trade up)</t>
  </si>
  <si>
    <t>Styles (→ DAL trade up)</t>
  </si>
  <si>
    <t>Fano (→ KC trade up)</t>
  </si>
  <si>
    <t>Tate (→ NYJ trade up)</t>
  </si>
  <si>
    <t>Fano (→ ARI trade up)</t>
  </si>
  <si>
    <t>Bailey (→ KC trade up)</t>
  </si>
  <si>
    <t>Fano (→ CLE trade up)</t>
  </si>
  <si>
    <t>Proctor (→ CLE trade up)</t>
  </si>
  <si>
    <t>Fano (→ DET trade up)</t>
  </si>
  <si>
    <t>Cooper Jr. (→ LAR trade up)</t>
  </si>
  <si>
    <t>Thieneman (→ PHI trade up)</t>
  </si>
  <si>
    <t>Concepcion (→ CLE trade up)</t>
  </si>
  <si>
    <t>Boston (→ CLE trade up)</t>
  </si>
  <si>
    <t>Proctor (→ KC trade up)</t>
  </si>
  <si>
    <t>Thieneman (→ CHI trade up)</t>
  </si>
  <si>
    <t>Howell (→ CLE trade up)</t>
  </si>
  <si>
    <t>Tyson (→ LAC trade up)</t>
  </si>
  <si>
    <t>Johnson (→ LAC trade up)</t>
  </si>
  <si>
    <t>Concepcion (→ BUF trade up)</t>
  </si>
  <si>
    <t>Terrell (→ CAR trade up)</t>
  </si>
  <si>
    <t>Hood (→ DAL trade up)</t>
  </si>
  <si>
    <t>Howell (→ ARI trade up)</t>
  </si>
  <si>
    <t>Simpson (→ ARI trade up)</t>
  </si>
  <si>
    <t>20 April-only mocks. Consensus (col X) = Top 6 credible mocks only. LEGEND: "Player (→ TEAM trade up)" means TEAM is trading UP to this pick for that player. "(via TEAM)" in Team column = pre-existing pick from a prior roster/draft trade.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</si>
</sst>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7E6E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0" xfId="0"/>
    <xf numFmtId="0" fontId="4" fillId="2" borderId="0" xfId="0" applyFont="1" applyFill="1"/>
    <xf numFmtId="0" fontId="4" fillId="8" borderId="0" xfId="0" applyFont="1" applyFill="1" applyAlignment="1">
      <alignment horizontal="center"/>
    </xf>
    <xf numFmtId="0" fontId="1" fillId="9" borderId="1" xfId="0" applyFont="1" applyFill="1" applyBorder="1"/>
    <xf numFmtId="0" fontId="0" fillId="5" borderId="1" xfId="0" applyFill="1" applyBorder="1"/>
    <xf numFmtId="14" fontId="0" fillId="5" borderId="1" xfId="0" applyNumberFormat="1" applyFill="1" applyBorder="1"/>
    <xf numFmtId="0" fontId="1" fillId="5" borderId="1" xfId="0" applyFont="1" applyFill="1" applyBorder="1"/>
    <xf numFmtId="14" fontId="0" fillId="0" borderId="1" xfId="0" applyNumberFormat="1" applyBorder="1"/>
    <xf numFmtId="0" fontId="5" fillId="8" borderId="0" xfId="0" applyFont="1" applyFill="1" applyAlignment="1">
      <alignment horizontal="center"/>
    </xf>
    <xf numFmtId="0" fontId="1" fillId="10" borderId="1" xfId="0" applyFont="1" applyFill="1" applyBorder="1" applyAlignment="1">
      <alignment horizontal="center" wrapText="1"/>
    </xf>
    <xf numFmtId="0" fontId="1" fillId="11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3" fillId="8" borderId="1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/>
    </xf>
    <xf numFmtId="16" fontId="7" fillId="3" borderId="1" xfId="0" applyNumberFormat="1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 wrapText="1"/>
    </xf>
    <xf numFmtId="0" fontId="9" fillId="3" borderId="1" xfId="0" applyFont="1" applyFill="1" applyBorder="1" applyAlignment="1">
      <alignment horizontal="left" wrapText="1"/>
    </xf>
    <xf numFmtId="0" fontId="8" fillId="5" borderId="1" xfId="0" applyFont="1" applyFill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9" fillId="7" borderId="1" xfId="0" applyFont="1" applyFill="1" applyBorder="1" applyAlignment="1">
      <alignment horizontal="center" wrapText="1"/>
    </xf>
    <xf numFmtId="0" fontId="4" fillId="2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0" fontId="0" fillId="0" borderId="0" xfId="0" applyAlignment="1">
      <alignment vertical="top" wrapText="1"/>
    </xf>
    <xf numFmtId="0" fontId="0" fillId="13" borderId="0" xfId="0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1" fillId="12" borderId="0" xfId="0" applyFont="1" applyFill="1"/>
    <xf numFmtId="0" fontId="2" fillId="4" borderId="0" xfId="0" applyFont="1" applyFill="1"/>
    <xf numFmtId="0" fontId="3" fillId="6" borderId="2" xfId="0" applyFont="1" applyFill="1" applyBorder="1" applyAlignment="1">
      <alignment horizontal="center" wrapText="1"/>
    </xf>
    <xf numFmtId="0" fontId="0" fillId="0" borderId="2" xfId="0" applyBorder="1" applyAlignment="1">
      <alignment vertical="top" wrapText="1"/>
    </xf>
    <xf numFmtId="0" fontId="0" fillId="5" borderId="2" xfId="0" applyFill="1" applyBorder="1" applyAlignment="1">
      <alignment vertical="top" wrapText="1"/>
    </xf>
    <xf numFmtId="0" fontId="1" fillId="7" borderId="2" xfId="0" applyFont="1" applyFill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2" xfId="0" applyFont="1" applyFill="1" applyBorder="1" applyAlignment="1">
      <alignment vertical="top" wrapText="1"/>
    </xf>
    <xf numFmtId="0" fontId="1" fillId="3" borderId="0" xfId="0" applyFont="1" applyFill="1"/>
    <xf numFmtId="0" fontId="0" fillId="3" borderId="0" xfId="0" applyFill="1"/>
    <xf numFmtId="0" fontId="0" fillId="3" borderId="0" xfId="0" quotePrefix="1" applyFill="1"/>
    <xf numFmtId="164" fontId="0" fillId="3" borderId="0" xfId="0" applyNumberFormat="1" applyFill="1"/>
    <xf numFmtId="0" fontId="6" fillId="0" borderId="0" xfId="0" applyFont="1" applyAlignment="1">
      <alignment horizontal="center" wrapText="1"/>
    </xf>
    <xf numFmtId="0" fontId="7" fillId="7" borderId="1" xfId="0" applyFont="1" applyFill="1" applyBorder="1" applyAlignment="1">
      <alignment horizontal="center" wrapText="1"/>
    </xf>
    <xf numFmtId="0" fontId="9" fillId="14" borderId="1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FD142-DC22-4E6F-AF32-2BF02BD18C62}">
  <dimension ref="A1:X60"/>
  <sheetViews>
    <sheetView tabSelected="1" topLeftCell="A29" workbookViewId="0">
      <pane xSplit="1" ySplit="1" topLeftCell="B38" activePane="bottomRight" state="frozen"/>
      <selection activeCell="A29" sqref="A29"/>
      <selection pane="topRight" activeCell="B29" sqref="B29"/>
      <selection pane="bottomLeft" activeCell="A30" sqref="A30"/>
      <selection pane="bottomRight" activeCell="A9" sqref="A9"/>
    </sheetView>
  </sheetViews>
  <sheetFormatPr defaultRowHeight="14.5" x14ac:dyDescent="0.35"/>
  <cols>
    <col min="1" max="1" width="8.1796875" customWidth="1"/>
    <col min="2" max="2" width="23.6328125" customWidth="1"/>
    <col min="3" max="22" width="13.6328125" customWidth="1"/>
    <col min="23" max="23" width="1.81640625" customWidth="1"/>
    <col min="24" max="24" width="23.6328125" customWidth="1"/>
  </cols>
  <sheetData>
    <row r="1" spans="1:24" ht="18.5" x14ac:dyDescent="0.45">
      <c r="A1" s="4" t="s">
        <v>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50" customHeight="1" x14ac:dyDescent="0.35">
      <c r="A2" s="43" t="s">
        <v>1064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24" x14ac:dyDescent="0.35">
      <c r="A4" s="5" t="s">
        <v>0</v>
      </c>
      <c r="B4" s="5" t="s">
        <v>1</v>
      </c>
      <c r="C4" s="5" t="s">
        <v>33</v>
      </c>
      <c r="D4" s="5" t="s">
        <v>94</v>
      </c>
      <c r="E4" s="5" t="s">
        <v>2</v>
      </c>
    </row>
    <row r="5" spans="1:24" ht="45" customHeight="1" x14ac:dyDescent="0.35">
      <c r="A5" s="6">
        <v>1</v>
      </c>
      <c r="B5" s="6" t="s">
        <v>95</v>
      </c>
      <c r="C5" s="7">
        <v>46128</v>
      </c>
      <c r="D5" s="8" t="s">
        <v>34</v>
      </c>
      <c r="E5" s="6" t="s">
        <v>96</v>
      </c>
    </row>
    <row r="6" spans="1:24" ht="45" customHeight="1" x14ac:dyDescent="0.35">
      <c r="A6" s="6">
        <v>2</v>
      </c>
      <c r="B6" s="6" t="s">
        <v>97</v>
      </c>
      <c r="C6" s="7">
        <v>46127</v>
      </c>
      <c r="D6" s="8" t="s">
        <v>34</v>
      </c>
      <c r="E6" s="6" t="s">
        <v>98</v>
      </c>
    </row>
    <row r="7" spans="1:24" ht="45" customHeight="1" x14ac:dyDescent="0.35">
      <c r="A7" s="6">
        <v>3</v>
      </c>
      <c r="B7" s="6" t="s">
        <v>99</v>
      </c>
      <c r="C7" s="7">
        <v>46129</v>
      </c>
      <c r="D7" s="8" t="s">
        <v>34</v>
      </c>
      <c r="E7" s="6" t="s">
        <v>100</v>
      </c>
    </row>
    <row r="8" spans="1:24" ht="45" customHeight="1" x14ac:dyDescent="0.35">
      <c r="A8" s="6">
        <v>4</v>
      </c>
      <c r="B8" s="6" t="s">
        <v>101</v>
      </c>
      <c r="C8" s="7">
        <v>46127</v>
      </c>
      <c r="D8" s="8" t="s">
        <v>34</v>
      </c>
      <c r="E8" s="6" t="s">
        <v>102</v>
      </c>
    </row>
    <row r="9" spans="1:24" ht="45" customHeight="1" x14ac:dyDescent="0.35">
      <c r="A9" s="6">
        <v>5</v>
      </c>
      <c r="B9" s="6" t="s">
        <v>103</v>
      </c>
      <c r="C9" s="7">
        <v>46127</v>
      </c>
      <c r="D9" s="8" t="s">
        <v>34</v>
      </c>
      <c r="E9" s="6" t="s">
        <v>104</v>
      </c>
    </row>
    <row r="10" spans="1:24" x14ac:dyDescent="0.35">
      <c r="A10" s="6">
        <v>6</v>
      </c>
      <c r="B10" s="6" t="s">
        <v>105</v>
      </c>
      <c r="C10" s="7">
        <v>46119</v>
      </c>
      <c r="D10" s="8" t="s">
        <v>34</v>
      </c>
      <c r="E10" s="6" t="s">
        <v>106</v>
      </c>
    </row>
    <row r="11" spans="1:24" x14ac:dyDescent="0.35">
      <c r="A11" s="1">
        <v>7</v>
      </c>
      <c r="B11" s="1" t="s">
        <v>107</v>
      </c>
      <c r="C11" s="9">
        <v>46129</v>
      </c>
      <c r="D11" s="1" t="s">
        <v>35</v>
      </c>
      <c r="E11" s="1" t="s">
        <v>108</v>
      </c>
    </row>
    <row r="12" spans="1:24" x14ac:dyDescent="0.35">
      <c r="A12" s="1">
        <v>8</v>
      </c>
      <c r="B12" s="1" t="s">
        <v>109</v>
      </c>
      <c r="C12" s="9">
        <v>46115</v>
      </c>
      <c r="D12" s="1" t="s">
        <v>35</v>
      </c>
      <c r="E12" s="1" t="s">
        <v>110</v>
      </c>
    </row>
    <row r="13" spans="1:24" x14ac:dyDescent="0.35">
      <c r="A13" s="1">
        <v>9</v>
      </c>
      <c r="B13" s="1" t="s">
        <v>37</v>
      </c>
      <c r="C13" s="9">
        <v>46126</v>
      </c>
      <c r="D13" s="1" t="s">
        <v>35</v>
      </c>
      <c r="E13" s="1" t="s">
        <v>111</v>
      </c>
    </row>
    <row r="14" spans="1:24" x14ac:dyDescent="0.35">
      <c r="A14" s="1">
        <v>10</v>
      </c>
      <c r="B14" s="1" t="s">
        <v>112</v>
      </c>
      <c r="C14" s="9">
        <v>46118</v>
      </c>
      <c r="D14" s="1" t="s">
        <v>35</v>
      </c>
      <c r="E14" s="1" t="s">
        <v>113</v>
      </c>
    </row>
    <row r="15" spans="1:24" x14ac:dyDescent="0.35">
      <c r="A15" s="1">
        <v>11</v>
      </c>
      <c r="B15" s="1" t="s">
        <v>36</v>
      </c>
      <c r="C15" s="9">
        <v>46125</v>
      </c>
      <c r="D15" s="1" t="s">
        <v>35</v>
      </c>
      <c r="E15" s="1" t="s">
        <v>114</v>
      </c>
    </row>
    <row r="16" spans="1:24" x14ac:dyDescent="0.35">
      <c r="A16" s="1">
        <v>12</v>
      </c>
      <c r="B16" s="1" t="s">
        <v>115</v>
      </c>
      <c r="C16" s="9">
        <v>46120</v>
      </c>
      <c r="D16" s="1" t="s">
        <v>35</v>
      </c>
      <c r="E16" s="1" t="s">
        <v>116</v>
      </c>
    </row>
    <row r="17" spans="1:24" x14ac:dyDescent="0.35">
      <c r="A17" s="1">
        <v>13</v>
      </c>
      <c r="B17" s="1" t="s">
        <v>38</v>
      </c>
      <c r="C17" s="9">
        <v>46127</v>
      </c>
      <c r="D17" s="1" t="s">
        <v>35</v>
      </c>
      <c r="E17" s="1" t="s">
        <v>117</v>
      </c>
    </row>
    <row r="18" spans="1:24" x14ac:dyDescent="0.35">
      <c r="A18" s="1">
        <v>14</v>
      </c>
      <c r="B18" s="1" t="s">
        <v>118</v>
      </c>
      <c r="C18" s="9">
        <v>46120</v>
      </c>
      <c r="D18" s="1" t="s">
        <v>35</v>
      </c>
      <c r="E18" s="1" t="s">
        <v>119</v>
      </c>
    </row>
    <row r="19" spans="1:24" x14ac:dyDescent="0.35">
      <c r="A19" s="1">
        <v>15</v>
      </c>
      <c r="B19" s="1" t="s">
        <v>120</v>
      </c>
      <c r="C19" s="9">
        <v>46129</v>
      </c>
      <c r="D19" s="1" t="s">
        <v>35</v>
      </c>
      <c r="E19" s="1" t="s">
        <v>121</v>
      </c>
    </row>
    <row r="20" spans="1:24" x14ac:dyDescent="0.35">
      <c r="A20" s="1">
        <v>16</v>
      </c>
      <c r="B20" s="1" t="s">
        <v>122</v>
      </c>
      <c r="C20" s="9">
        <v>46125</v>
      </c>
      <c r="D20" s="1" t="s">
        <v>35</v>
      </c>
      <c r="E20" s="1" t="s">
        <v>123</v>
      </c>
    </row>
    <row r="21" spans="1:24" x14ac:dyDescent="0.35">
      <c r="A21" s="1">
        <v>17</v>
      </c>
      <c r="B21" s="1" t="s">
        <v>124</v>
      </c>
      <c r="C21" s="9">
        <v>46128</v>
      </c>
      <c r="D21" s="1" t="s">
        <v>35</v>
      </c>
      <c r="E21" s="1" t="s">
        <v>125</v>
      </c>
    </row>
    <row r="22" spans="1:24" x14ac:dyDescent="0.35">
      <c r="A22" s="1">
        <v>18</v>
      </c>
      <c r="B22" s="1" t="s">
        <v>126</v>
      </c>
      <c r="C22" s="9">
        <v>46122</v>
      </c>
      <c r="D22" s="1" t="s">
        <v>35</v>
      </c>
      <c r="E22" s="1" t="s">
        <v>127</v>
      </c>
    </row>
    <row r="23" spans="1:24" x14ac:dyDescent="0.35">
      <c r="A23" s="1">
        <v>19</v>
      </c>
      <c r="B23" s="1" t="s">
        <v>39</v>
      </c>
      <c r="C23" s="9">
        <v>46128</v>
      </c>
      <c r="D23" s="1" t="s">
        <v>35</v>
      </c>
      <c r="E23" s="1" t="s">
        <v>128</v>
      </c>
    </row>
    <row r="24" spans="1:24" x14ac:dyDescent="0.35">
      <c r="A24" s="1">
        <v>20</v>
      </c>
      <c r="B24" s="1" t="s">
        <v>129</v>
      </c>
      <c r="C24" s="9">
        <v>46129</v>
      </c>
      <c r="D24" s="1" t="s">
        <v>35</v>
      </c>
      <c r="E24" s="1" t="s">
        <v>130</v>
      </c>
    </row>
    <row r="26" spans="1:24" ht="16" x14ac:dyDescent="0.4">
      <c r="A26" s="10" t="s">
        <v>131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ht="60" customHeight="1" x14ac:dyDescent="0.35">
      <c r="A27" s="11" t="s">
        <v>3</v>
      </c>
      <c r="B27" s="11" t="s">
        <v>4</v>
      </c>
      <c r="C27" s="11" t="s">
        <v>132</v>
      </c>
      <c r="D27" s="11" t="s">
        <v>133</v>
      </c>
      <c r="E27" s="11" t="s">
        <v>134</v>
      </c>
      <c r="F27" s="11" t="s">
        <v>135</v>
      </c>
      <c r="G27" s="11" t="s">
        <v>136</v>
      </c>
      <c r="H27" s="11" t="s">
        <v>137</v>
      </c>
      <c r="I27" s="12" t="s">
        <v>138</v>
      </c>
      <c r="J27" s="12" t="s">
        <v>139</v>
      </c>
      <c r="K27" s="12" t="s">
        <v>140</v>
      </c>
      <c r="L27" s="12" t="s">
        <v>141</v>
      </c>
      <c r="M27" s="12" t="s">
        <v>142</v>
      </c>
      <c r="N27" s="12" t="s">
        <v>143</v>
      </c>
      <c r="O27" s="12" t="s">
        <v>144</v>
      </c>
      <c r="P27" s="12" t="s">
        <v>145</v>
      </c>
      <c r="Q27" s="12" t="s">
        <v>146</v>
      </c>
      <c r="R27" s="12" t="s">
        <v>147</v>
      </c>
      <c r="S27" s="12" t="s">
        <v>148</v>
      </c>
      <c r="T27" s="12" t="s">
        <v>149</v>
      </c>
      <c r="U27" s="12" t="s">
        <v>40</v>
      </c>
      <c r="V27" s="12" t="s">
        <v>41</v>
      </c>
      <c r="W27" s="13"/>
      <c r="X27" s="14" t="s">
        <v>150</v>
      </c>
    </row>
    <row r="28" spans="1:24" x14ac:dyDescent="0.35">
      <c r="A28" s="15"/>
      <c r="B28" s="15" t="s">
        <v>42</v>
      </c>
      <c r="C28" s="16">
        <v>46128</v>
      </c>
      <c r="D28" s="16">
        <v>46127</v>
      </c>
      <c r="E28" s="16">
        <v>46129</v>
      </c>
      <c r="F28" s="16">
        <v>46127</v>
      </c>
      <c r="G28" s="16">
        <v>46127</v>
      </c>
      <c r="H28" s="16">
        <v>46119</v>
      </c>
      <c r="I28" s="16">
        <v>46129</v>
      </c>
      <c r="J28" s="16">
        <v>46115</v>
      </c>
      <c r="K28" s="16">
        <v>46126</v>
      </c>
      <c r="L28" s="16">
        <v>46118</v>
      </c>
      <c r="M28" s="16">
        <v>46125</v>
      </c>
      <c r="N28" s="16">
        <v>46120</v>
      </c>
      <c r="O28" s="16">
        <v>46127</v>
      </c>
      <c r="P28" s="16">
        <v>46120</v>
      </c>
      <c r="Q28" s="16">
        <v>46129</v>
      </c>
      <c r="R28" s="16">
        <v>46125</v>
      </c>
      <c r="S28" s="16">
        <v>46128</v>
      </c>
      <c r="T28" s="16">
        <v>46122</v>
      </c>
      <c r="U28" s="16">
        <v>46128</v>
      </c>
      <c r="V28" s="16">
        <v>46129</v>
      </c>
      <c r="W28" s="15"/>
      <c r="X28" s="15" t="s">
        <v>43</v>
      </c>
    </row>
    <row r="29" spans="1:24" x14ac:dyDescent="0.35">
      <c r="A29" s="17">
        <v>1</v>
      </c>
      <c r="B29" s="18" t="s">
        <v>5</v>
      </c>
      <c r="C29" s="19" t="s">
        <v>44</v>
      </c>
      <c r="D29" s="19" t="s">
        <v>44</v>
      </c>
      <c r="E29" s="19" t="s">
        <v>44</v>
      </c>
      <c r="F29" s="19" t="s">
        <v>44</v>
      </c>
      <c r="G29" s="19" t="s">
        <v>44</v>
      </c>
      <c r="H29" s="19" t="s">
        <v>44</v>
      </c>
      <c r="I29" s="20" t="s">
        <v>44</v>
      </c>
      <c r="J29" s="20" t="s">
        <v>44</v>
      </c>
      <c r="K29" s="20" t="s">
        <v>44</v>
      </c>
      <c r="L29" s="20" t="s">
        <v>44</v>
      </c>
      <c r="M29" s="20" t="s">
        <v>44</v>
      </c>
      <c r="N29" s="20" t="s">
        <v>44</v>
      </c>
      <c r="O29" s="20" t="s">
        <v>44</v>
      </c>
      <c r="P29" s="20" t="s">
        <v>44</v>
      </c>
      <c r="Q29" s="20" t="s">
        <v>44</v>
      </c>
      <c r="R29" s="20" t="s">
        <v>44</v>
      </c>
      <c r="S29" s="20" t="s">
        <v>44</v>
      </c>
      <c r="T29" s="20" t="s">
        <v>44</v>
      </c>
      <c r="U29" s="20" t="s">
        <v>44</v>
      </c>
      <c r="V29" s="20" t="s">
        <v>44</v>
      </c>
      <c r="W29" s="20"/>
      <c r="X29" s="21" t="str" cm="1">
        <f t="array" ref="X29">IFERROR(_xlfn.LET(_xlpm.r,C29:H29,_xlpm.base,IF(ISNUMBER(SEARCH(" (",_xlpm.r)),LEFT(_xlpm.r,SEARCH(" (",_xlpm.r)-1),_xlpm.r),_xlpm.cnt,_xlfn.MAP(_xlpm.base,_xlfn.LAMBDA(_xlpm.v,IF(_xlpm.v="—",0,SUM(--(_xlpm.base=_xlpm.v))))),INDEX(_xlpm.base,MATCH(MAX(_xlpm.cnt),_xlpm.cnt,0))),"—")</f>
        <v>Mendoza</v>
      </c>
    </row>
    <row r="30" spans="1:24" x14ac:dyDescent="0.35">
      <c r="A30" s="17">
        <v>2</v>
      </c>
      <c r="B30" s="18" t="s">
        <v>6</v>
      </c>
      <c r="C30" s="19" t="s">
        <v>45</v>
      </c>
      <c r="D30" s="19" t="s">
        <v>45</v>
      </c>
      <c r="E30" s="19" t="s">
        <v>45</v>
      </c>
      <c r="F30" s="19" t="s">
        <v>46</v>
      </c>
      <c r="G30" s="19" t="s">
        <v>46</v>
      </c>
      <c r="H30" s="19" t="s">
        <v>46</v>
      </c>
      <c r="I30" s="20" t="s">
        <v>45</v>
      </c>
      <c r="J30" s="20" t="s">
        <v>45</v>
      </c>
      <c r="K30" s="20" t="s">
        <v>45</v>
      </c>
      <c r="L30" s="20" t="s">
        <v>45</v>
      </c>
      <c r="M30" s="20" t="s">
        <v>45</v>
      </c>
      <c r="N30" s="20" t="s">
        <v>45</v>
      </c>
      <c r="O30" s="20" t="s">
        <v>46</v>
      </c>
      <c r="P30" s="20" t="s">
        <v>43</v>
      </c>
      <c r="Q30" s="20" t="s">
        <v>46</v>
      </c>
      <c r="R30" s="20" t="s">
        <v>45</v>
      </c>
      <c r="S30" s="20" t="s">
        <v>45</v>
      </c>
      <c r="T30" s="20" t="s">
        <v>45</v>
      </c>
      <c r="U30" s="20" t="s">
        <v>45</v>
      </c>
      <c r="V30" s="20" t="s">
        <v>45</v>
      </c>
      <c r="W30" s="20"/>
      <c r="X30" s="21" t="str" cm="1">
        <f t="array" ref="X30">IFERROR(_xlfn.LET(_xlpm.r,C30:H30,_xlpm.base,IF(ISNUMBER(SEARCH(" (",_xlpm.r)),LEFT(_xlpm.r,SEARCH(" (",_xlpm.r)-1),_xlpm.r),_xlpm.cnt,_xlfn.MAP(_xlpm.base,_xlfn.LAMBDA(_xlpm.v,IF(_xlpm.v="—",0,SUM(--(_xlpm.base=_xlpm.v))))),INDEX(_xlpm.base,MATCH(MAX(_xlpm.cnt),_xlpm.cnt,0))),"—")</f>
        <v>Reese</v>
      </c>
    </row>
    <row r="31" spans="1:24" ht="24.5" x14ac:dyDescent="0.35">
      <c r="A31" s="17">
        <v>3</v>
      </c>
      <c r="B31" s="18" t="s">
        <v>7</v>
      </c>
      <c r="C31" s="19" t="s">
        <v>47</v>
      </c>
      <c r="D31" s="19" t="s">
        <v>47</v>
      </c>
      <c r="E31" s="19" t="s">
        <v>46</v>
      </c>
      <c r="F31" s="19" t="s">
        <v>45</v>
      </c>
      <c r="G31" s="44" t="s">
        <v>1039</v>
      </c>
      <c r="H31" s="19" t="s">
        <v>45</v>
      </c>
      <c r="I31" s="20" t="s">
        <v>47</v>
      </c>
      <c r="J31" s="20" t="s">
        <v>47</v>
      </c>
      <c r="K31" s="44" t="s">
        <v>1040</v>
      </c>
      <c r="L31" s="20" t="s">
        <v>47</v>
      </c>
      <c r="M31" s="20" t="s">
        <v>47</v>
      </c>
      <c r="N31" s="20" t="s">
        <v>47</v>
      </c>
      <c r="O31" s="20" t="s">
        <v>45</v>
      </c>
      <c r="P31" s="20" t="s">
        <v>43</v>
      </c>
      <c r="Q31" s="44" t="s">
        <v>1041</v>
      </c>
      <c r="R31" s="20" t="s">
        <v>45</v>
      </c>
      <c r="S31" s="20" t="s">
        <v>46</v>
      </c>
      <c r="T31" s="20" t="s">
        <v>46</v>
      </c>
      <c r="U31" s="20" t="s">
        <v>47</v>
      </c>
      <c r="V31" s="20" t="s">
        <v>46</v>
      </c>
      <c r="W31" s="20"/>
      <c r="X31" s="21" t="str" cm="1">
        <f t="array" ref="X31">IFERROR(_xlfn.LET(_xlpm.r,C31:H31,_xlpm.base,IF(ISNUMBER(SEARCH(" (",_xlpm.r)),LEFT(_xlpm.r,SEARCH(" (",_xlpm.r)-1),_xlpm.r),_xlpm.cnt,_xlfn.MAP(_xlpm.base,_xlfn.LAMBDA(_xlpm.v,IF(_xlpm.v="—",0,SUM(--(_xlpm.base=_xlpm.v))))),INDEX(_xlpm.base,MATCH(MAX(_xlpm.cnt),_xlpm.cnt,0))),"—")</f>
        <v>Reese</v>
      </c>
    </row>
    <row r="32" spans="1:24" x14ac:dyDescent="0.35">
      <c r="A32" s="17">
        <v>4</v>
      </c>
      <c r="B32" s="18" t="s">
        <v>8</v>
      </c>
      <c r="C32" s="19" t="s">
        <v>46</v>
      </c>
      <c r="D32" s="19" t="s">
        <v>46</v>
      </c>
      <c r="E32" s="19" t="s">
        <v>49</v>
      </c>
      <c r="F32" s="19" t="s">
        <v>49</v>
      </c>
      <c r="G32" s="19" t="s">
        <v>49</v>
      </c>
      <c r="H32" s="19" t="s">
        <v>49</v>
      </c>
      <c r="I32" s="20" t="s">
        <v>46</v>
      </c>
      <c r="J32" s="20" t="s">
        <v>46</v>
      </c>
      <c r="K32" s="20" t="s">
        <v>47</v>
      </c>
      <c r="L32" s="20" t="s">
        <v>46</v>
      </c>
      <c r="M32" s="20" t="s">
        <v>46</v>
      </c>
      <c r="N32" s="20" t="s">
        <v>46</v>
      </c>
      <c r="O32" s="20" t="s">
        <v>49</v>
      </c>
      <c r="P32" s="20" t="s">
        <v>43</v>
      </c>
      <c r="Q32" s="20" t="s">
        <v>49</v>
      </c>
      <c r="R32" s="20" t="s">
        <v>49</v>
      </c>
      <c r="S32" s="20" t="s">
        <v>49</v>
      </c>
      <c r="T32" s="20" t="s">
        <v>49</v>
      </c>
      <c r="U32" s="20" t="s">
        <v>49</v>
      </c>
      <c r="V32" s="20" t="s">
        <v>49</v>
      </c>
      <c r="W32" s="20"/>
      <c r="X32" s="21" t="str" cm="1">
        <f t="array" ref="X32">IFERROR(_xlfn.LET(_xlpm.r,C32:H32,_xlpm.base,IF(ISNUMBER(SEARCH(" (",_xlpm.r)),LEFT(_xlpm.r,SEARCH(" (",_xlpm.r)-1),_xlpm.r),_xlpm.cnt,_xlfn.MAP(_xlpm.base,_xlfn.LAMBDA(_xlpm.v,IF(_xlpm.v="—",0,SUM(--(_xlpm.base=_xlpm.v))))),INDEX(_xlpm.base,MATCH(MAX(_xlpm.cnt),_xlpm.cnt,0))),"—")</f>
        <v>Love</v>
      </c>
    </row>
    <row r="33" spans="1:24" x14ac:dyDescent="0.35">
      <c r="A33" s="17">
        <v>5</v>
      </c>
      <c r="B33" s="18" t="s">
        <v>9</v>
      </c>
      <c r="C33" s="19" t="s">
        <v>53</v>
      </c>
      <c r="D33" s="19" t="s">
        <v>53</v>
      </c>
      <c r="E33" s="19" t="s">
        <v>53</v>
      </c>
      <c r="F33" s="19" t="s">
        <v>53</v>
      </c>
      <c r="G33" s="19" t="s">
        <v>47</v>
      </c>
      <c r="H33" s="19" t="s">
        <v>51</v>
      </c>
      <c r="I33" s="20" t="s">
        <v>49</v>
      </c>
      <c r="J33" s="20" t="s">
        <v>49</v>
      </c>
      <c r="K33" s="20" t="s">
        <v>53</v>
      </c>
      <c r="L33" s="20" t="s">
        <v>53</v>
      </c>
      <c r="M33" s="20" t="s">
        <v>53</v>
      </c>
      <c r="N33" s="20" t="s">
        <v>52</v>
      </c>
      <c r="O33" s="20" t="s">
        <v>51</v>
      </c>
      <c r="P33" s="20" t="s">
        <v>43</v>
      </c>
      <c r="Q33" s="20" t="s">
        <v>48</v>
      </c>
      <c r="R33" s="20" t="s">
        <v>48</v>
      </c>
      <c r="S33" s="20" t="s">
        <v>51</v>
      </c>
      <c r="T33" s="20" t="s">
        <v>51</v>
      </c>
      <c r="U33" s="20" t="s">
        <v>53</v>
      </c>
      <c r="V33" s="20" t="s">
        <v>51</v>
      </c>
      <c r="W33" s="20"/>
      <c r="X33" s="21" t="str" cm="1">
        <f t="array" ref="X33">IFERROR(_xlfn.LET(_xlpm.r,C33:H33,_xlpm.base,IF(ISNUMBER(SEARCH(" (",_xlpm.r)),LEFT(_xlpm.r,SEARCH(" (",_xlpm.r)-1),_xlpm.r),_xlpm.cnt,_xlfn.MAP(_xlpm.base,_xlfn.LAMBDA(_xlpm.v,IF(_xlpm.v="—",0,SUM(--(_xlpm.base=_xlpm.v))))),INDEX(_xlpm.base,MATCH(MAX(_xlpm.cnt),_xlpm.cnt,0))),"—")</f>
        <v>Downs</v>
      </c>
    </row>
    <row r="34" spans="1:24" ht="24.5" x14ac:dyDescent="0.35">
      <c r="A34" s="17">
        <v>6</v>
      </c>
      <c r="B34" s="18" t="s">
        <v>10</v>
      </c>
      <c r="C34" s="44" t="s">
        <v>1042</v>
      </c>
      <c r="D34" s="44" t="s">
        <v>1042</v>
      </c>
      <c r="E34" s="19" t="s">
        <v>52</v>
      </c>
      <c r="F34" s="44" t="s">
        <v>1042</v>
      </c>
      <c r="G34" s="44" t="s">
        <v>1042</v>
      </c>
      <c r="H34" s="19" t="s">
        <v>48</v>
      </c>
      <c r="I34" s="20" t="s">
        <v>55</v>
      </c>
      <c r="J34" s="20" t="s">
        <v>55</v>
      </c>
      <c r="K34" s="44" t="s">
        <v>1043</v>
      </c>
      <c r="L34" s="20" t="s">
        <v>51</v>
      </c>
      <c r="M34" s="20" t="s">
        <v>48</v>
      </c>
      <c r="N34" s="20" t="s">
        <v>48</v>
      </c>
      <c r="O34" s="20" t="s">
        <v>52</v>
      </c>
      <c r="P34" s="20" t="s">
        <v>43</v>
      </c>
      <c r="Q34" s="20" t="s">
        <v>52</v>
      </c>
      <c r="R34" s="20" t="s">
        <v>52</v>
      </c>
      <c r="S34" s="20" t="s">
        <v>52</v>
      </c>
      <c r="T34" s="20" t="s">
        <v>52</v>
      </c>
      <c r="U34" s="20" t="s">
        <v>51</v>
      </c>
      <c r="V34" s="20" t="s">
        <v>52</v>
      </c>
      <c r="W34" s="20"/>
      <c r="X34" s="21" t="str" cm="1">
        <f t="array" ref="X34">IFERROR(_xlfn.LET(_xlpm.r,C34:H34,_xlpm.base,IF(ISNUMBER(SEARCH(" (",_xlpm.r)),LEFT(_xlpm.r,SEARCH(" (",_xlpm.r)-1),_xlpm.r),_xlpm.cnt,_xlfn.MAP(_xlpm.base,_xlfn.LAMBDA(_xlpm.v,IF(_xlpm.v="—",0,SUM(--(_xlpm.base=_xlpm.v))))),INDEX(_xlpm.base,MATCH(MAX(_xlpm.cnt),_xlpm.cnt,0))),"—")</f>
        <v>Styles</v>
      </c>
    </row>
    <row r="35" spans="1:24" ht="24.5" x14ac:dyDescent="0.35">
      <c r="A35" s="17">
        <v>7</v>
      </c>
      <c r="B35" s="18" t="s">
        <v>11</v>
      </c>
      <c r="C35" s="19" t="s">
        <v>49</v>
      </c>
      <c r="D35" s="19" t="s">
        <v>49</v>
      </c>
      <c r="E35" s="19" t="s">
        <v>52</v>
      </c>
      <c r="F35" s="19" t="s">
        <v>52</v>
      </c>
      <c r="G35" s="44" t="s">
        <v>1044</v>
      </c>
      <c r="H35" s="19" t="s">
        <v>51</v>
      </c>
      <c r="I35" s="20" t="s">
        <v>54</v>
      </c>
      <c r="J35" s="20" t="s">
        <v>54</v>
      </c>
      <c r="K35" s="20" t="s">
        <v>52</v>
      </c>
      <c r="L35" s="20" t="s">
        <v>52</v>
      </c>
      <c r="M35" s="20" t="s">
        <v>52</v>
      </c>
      <c r="N35" s="20" t="s">
        <v>49</v>
      </c>
      <c r="O35" s="20" t="s">
        <v>53</v>
      </c>
      <c r="P35" s="20" t="s">
        <v>43</v>
      </c>
      <c r="Q35" s="20" t="s">
        <v>51</v>
      </c>
      <c r="R35" s="20" t="s">
        <v>51</v>
      </c>
      <c r="S35" s="20" t="s">
        <v>54</v>
      </c>
      <c r="T35" s="20" t="s">
        <v>54</v>
      </c>
      <c r="U35" s="20" t="s">
        <v>54</v>
      </c>
      <c r="V35" s="20" t="s">
        <v>54</v>
      </c>
      <c r="W35" s="20"/>
      <c r="X35" s="21" t="str" cm="1">
        <f t="array" ref="X35">IFERROR(_xlfn.LET(_xlpm.r,C35:H35,_xlpm.base,IF(ISNUMBER(SEARCH(" (",_xlpm.r)),LEFT(_xlpm.r,SEARCH(" (",_xlpm.r)-1),_xlpm.r),_xlpm.cnt,_xlfn.MAP(_xlpm.base,_xlfn.LAMBDA(_xlpm.v,IF(_xlpm.v="—",0,SUM(--(_xlpm.base=_xlpm.v))))),INDEX(_xlpm.base,MATCH(MAX(_xlpm.cnt),_xlpm.cnt,0))),"—")</f>
        <v>Tate</v>
      </c>
    </row>
    <row r="36" spans="1:24" ht="24.5" x14ac:dyDescent="0.35">
      <c r="A36" s="17">
        <v>8</v>
      </c>
      <c r="B36" s="18" t="s">
        <v>12</v>
      </c>
      <c r="C36" s="19" t="s">
        <v>52</v>
      </c>
      <c r="D36" s="19" t="s">
        <v>52</v>
      </c>
      <c r="E36" s="19" t="s">
        <v>50</v>
      </c>
      <c r="F36" s="19" t="s">
        <v>50</v>
      </c>
      <c r="G36" s="44" t="s">
        <v>1045</v>
      </c>
      <c r="H36" s="19" t="s">
        <v>50</v>
      </c>
      <c r="I36" s="20" t="s">
        <v>53</v>
      </c>
      <c r="J36" s="20" t="s">
        <v>53</v>
      </c>
      <c r="K36" s="20" t="s">
        <v>54</v>
      </c>
      <c r="L36" s="20" t="s">
        <v>54</v>
      </c>
      <c r="M36" s="20" t="s">
        <v>52</v>
      </c>
      <c r="N36" s="20" t="s">
        <v>53</v>
      </c>
      <c r="O36" s="20" t="s">
        <v>50</v>
      </c>
      <c r="P36" s="20" t="s">
        <v>43</v>
      </c>
      <c r="Q36" s="20" t="s">
        <v>53</v>
      </c>
      <c r="R36" s="20" t="s">
        <v>53</v>
      </c>
      <c r="S36" s="20" t="s">
        <v>50</v>
      </c>
      <c r="T36" s="20" t="s">
        <v>50</v>
      </c>
      <c r="U36" s="20" t="s">
        <v>50</v>
      </c>
      <c r="V36" s="20" t="s">
        <v>50</v>
      </c>
      <c r="W36" s="20"/>
      <c r="X36" s="21" t="str" cm="1">
        <f t="array" ref="X36">IFERROR(_xlfn.LET(_xlpm.r,C36:H36,_xlpm.base,IF(ISNUMBER(SEARCH(" (",_xlpm.r)),LEFT(_xlpm.r,SEARCH(" (",_xlpm.r)-1),_xlpm.r),_xlpm.cnt,_xlfn.MAP(_xlpm.base,_xlfn.LAMBDA(_xlpm.v,IF(_xlpm.v="—",0,SUM(--(_xlpm.base=_xlpm.v))))),INDEX(_xlpm.base,MATCH(MAX(_xlpm.cnt),_xlpm.cnt,0))),"—")</f>
        <v>Bain Jr.</v>
      </c>
    </row>
    <row r="37" spans="1:24" ht="24.5" x14ac:dyDescent="0.35">
      <c r="A37" s="17">
        <v>9</v>
      </c>
      <c r="B37" s="18" t="s">
        <v>13</v>
      </c>
      <c r="C37" s="19" t="s">
        <v>50</v>
      </c>
      <c r="D37" s="19" t="s">
        <v>50</v>
      </c>
      <c r="E37" s="19" t="s">
        <v>58</v>
      </c>
      <c r="F37" s="19" t="s">
        <v>58</v>
      </c>
      <c r="G37" s="19" t="s">
        <v>58</v>
      </c>
      <c r="H37" s="19" t="s">
        <v>58</v>
      </c>
      <c r="I37" s="20" t="s">
        <v>50</v>
      </c>
      <c r="J37" s="20" t="s">
        <v>50</v>
      </c>
      <c r="K37" s="44" t="s">
        <v>1046</v>
      </c>
      <c r="L37" s="20" t="s">
        <v>50</v>
      </c>
      <c r="M37" s="20" t="s">
        <v>50</v>
      </c>
      <c r="N37" s="20" t="s">
        <v>51</v>
      </c>
      <c r="O37" s="20" t="s">
        <v>54</v>
      </c>
      <c r="P37" s="20" t="s">
        <v>43</v>
      </c>
      <c r="Q37" s="20" t="s">
        <v>50</v>
      </c>
      <c r="R37" s="20" t="s">
        <v>50</v>
      </c>
      <c r="S37" s="20" t="s">
        <v>58</v>
      </c>
      <c r="T37" s="20" t="s">
        <v>58</v>
      </c>
      <c r="U37" s="20" t="s">
        <v>58</v>
      </c>
      <c r="V37" s="20" t="s">
        <v>151</v>
      </c>
      <c r="W37" s="20"/>
      <c r="X37" s="21" t="str" cm="1">
        <f t="array" ref="X37">IFERROR(_xlfn.LET(_xlpm.r,C37:H37,_xlpm.base,IF(ISNUMBER(SEARCH(" (",_xlpm.r)),LEFT(_xlpm.r,SEARCH(" (",_xlpm.r)-1),_xlpm.r),_xlpm.cnt,_xlfn.MAP(_xlpm.base,_xlfn.LAMBDA(_xlpm.v,IF(_xlpm.v="—",0,SUM(--(_xlpm.base=_xlpm.v))))),INDEX(_xlpm.base,MATCH(MAX(_xlpm.cnt),_xlpm.cnt,0))),"—")</f>
        <v>Tyson</v>
      </c>
    </row>
    <row r="38" spans="1:24" x14ac:dyDescent="0.35">
      <c r="A38" s="17">
        <v>10</v>
      </c>
      <c r="B38" s="18" t="s">
        <v>14</v>
      </c>
      <c r="C38" s="19" t="s">
        <v>54</v>
      </c>
      <c r="D38" s="19" t="s">
        <v>54</v>
      </c>
      <c r="E38" s="19" t="s">
        <v>54</v>
      </c>
      <c r="F38" s="19" t="s">
        <v>54</v>
      </c>
      <c r="G38" s="19" t="s">
        <v>53</v>
      </c>
      <c r="H38" s="19" t="s">
        <v>54</v>
      </c>
      <c r="I38" s="20" t="s">
        <v>60</v>
      </c>
      <c r="J38" s="20" t="s">
        <v>60</v>
      </c>
      <c r="K38" s="20" t="s">
        <v>50</v>
      </c>
      <c r="L38" s="20" t="s">
        <v>50</v>
      </c>
      <c r="M38" s="20" t="s">
        <v>54</v>
      </c>
      <c r="N38" s="20" t="s">
        <v>60</v>
      </c>
      <c r="O38" s="20" t="s">
        <v>61</v>
      </c>
      <c r="P38" s="20" t="s">
        <v>43</v>
      </c>
      <c r="Q38" s="20" t="s">
        <v>54</v>
      </c>
      <c r="R38" s="20" t="s">
        <v>54</v>
      </c>
      <c r="S38" s="20" t="s">
        <v>53</v>
      </c>
      <c r="T38" s="20" t="s">
        <v>53</v>
      </c>
      <c r="U38" s="20" t="s">
        <v>54</v>
      </c>
      <c r="V38" s="20" t="s">
        <v>60</v>
      </c>
      <c r="W38" s="20"/>
      <c r="X38" s="21" t="str" cm="1">
        <f t="array" ref="X38">IFERROR(_xlfn.LET(_xlpm.r,C38:H38,_xlpm.base,IF(ISNUMBER(SEARCH(" (",_xlpm.r)),LEFT(_xlpm.r,SEARCH(" (",_xlpm.r)-1),_xlpm.r),_xlpm.cnt,_xlfn.MAP(_xlpm.base,_xlfn.LAMBDA(_xlpm.v,IF(_xlpm.v="—",0,SUM(--(_xlpm.base=_xlpm.v))))),INDEX(_xlpm.base,MATCH(MAX(_xlpm.cnt),_xlpm.cnt,0))),"—")</f>
        <v>Delane</v>
      </c>
    </row>
    <row r="39" spans="1:24" x14ac:dyDescent="0.35">
      <c r="A39" s="17">
        <v>11</v>
      </c>
      <c r="B39" s="18" t="s">
        <v>15</v>
      </c>
      <c r="C39" s="19" t="s">
        <v>62</v>
      </c>
      <c r="D39" s="19" t="s">
        <v>62</v>
      </c>
      <c r="E39" s="19" t="s">
        <v>43</v>
      </c>
      <c r="F39" s="19" t="s">
        <v>47</v>
      </c>
      <c r="G39" s="19" t="s">
        <v>54</v>
      </c>
      <c r="H39" s="19" t="s">
        <v>52</v>
      </c>
      <c r="I39" s="20" t="s">
        <v>52</v>
      </c>
      <c r="J39" s="20" t="s">
        <v>52</v>
      </c>
      <c r="K39" s="20" t="s">
        <v>59</v>
      </c>
      <c r="L39" s="20" t="s">
        <v>59</v>
      </c>
      <c r="M39" s="20" t="s">
        <v>54</v>
      </c>
      <c r="N39" s="20" t="s">
        <v>54</v>
      </c>
      <c r="O39" s="20" t="s">
        <v>47</v>
      </c>
      <c r="P39" s="20" t="s">
        <v>43</v>
      </c>
      <c r="Q39" s="20" t="s">
        <v>59</v>
      </c>
      <c r="R39" s="20" t="s">
        <v>59</v>
      </c>
      <c r="S39" s="20" t="s">
        <v>47</v>
      </c>
      <c r="T39" s="20" t="s">
        <v>47</v>
      </c>
      <c r="U39" s="20" t="s">
        <v>47</v>
      </c>
      <c r="V39" s="20" t="s">
        <v>47</v>
      </c>
      <c r="W39" s="20"/>
      <c r="X39" s="21" t="str" cm="1">
        <f t="array" ref="X39">IFERROR(_xlfn.LET(_xlpm.r,C39:H39,_xlpm.base,IF(ISNUMBER(SEARCH(" (",_xlpm.r)),LEFT(_xlpm.r,SEARCH(" (",_xlpm.r)-1),_xlpm.r),_xlpm.cnt,_xlfn.MAP(_xlpm.base,_xlfn.LAMBDA(_xlpm.v,IF(_xlpm.v="—",0,SUM(--(_xlpm.base=_xlpm.v))))),INDEX(_xlpm.base,MATCH(MAX(_xlpm.cnt),_xlpm.cnt,0))),"—")</f>
        <v>Faulk</v>
      </c>
    </row>
    <row r="40" spans="1:24" ht="24.5" x14ac:dyDescent="0.35">
      <c r="A40" s="17">
        <v>12</v>
      </c>
      <c r="B40" s="18" t="s">
        <v>16</v>
      </c>
      <c r="C40" s="44" t="s">
        <v>1047</v>
      </c>
      <c r="D40" s="44" t="s">
        <v>1047</v>
      </c>
      <c r="E40" s="19" t="s">
        <v>43</v>
      </c>
      <c r="F40" s="44" t="s">
        <v>1048</v>
      </c>
      <c r="G40" s="44" t="s">
        <v>1048</v>
      </c>
      <c r="H40" s="19" t="s">
        <v>53</v>
      </c>
      <c r="I40" s="20" t="s">
        <v>51</v>
      </c>
      <c r="J40" s="20" t="s">
        <v>51</v>
      </c>
      <c r="K40" s="20" t="s">
        <v>51</v>
      </c>
      <c r="L40" s="20" t="s">
        <v>51</v>
      </c>
      <c r="M40" s="20" t="s">
        <v>51</v>
      </c>
      <c r="N40" s="20" t="s">
        <v>50</v>
      </c>
      <c r="O40" s="20" t="s">
        <v>60</v>
      </c>
      <c r="P40" s="20" t="s">
        <v>43</v>
      </c>
      <c r="Q40" s="20" t="s">
        <v>47</v>
      </c>
      <c r="R40" s="20" t="s">
        <v>47</v>
      </c>
      <c r="S40" s="20" t="s">
        <v>60</v>
      </c>
      <c r="T40" s="20" t="s">
        <v>51</v>
      </c>
      <c r="U40" s="20" t="s">
        <v>53</v>
      </c>
      <c r="V40" s="20" t="s">
        <v>75</v>
      </c>
      <c r="W40" s="20"/>
      <c r="X40" s="21" t="str" cm="1">
        <f t="array" ref="X40">IFERROR(_xlfn.LET(_xlpm.r,C40:H40,_xlpm.base,IF(ISNUMBER(SEARCH(" (",_xlpm.r)),LEFT(_xlpm.r,SEARCH(" (",_xlpm.r)-1),_xlpm.r),_xlpm.cnt,_xlfn.MAP(_xlpm.base,_xlfn.LAMBDA(_xlpm.v,IF(_xlpm.v="—",0,SUM(--(_xlpm.base=_xlpm.v))))),INDEX(_xlpm.base,MATCH(MAX(_xlpm.cnt),_xlpm.cnt,0))),"—")</f>
        <v>Fano</v>
      </c>
    </row>
    <row r="41" spans="1:24" ht="24.5" x14ac:dyDescent="0.35">
      <c r="A41" s="17">
        <v>13</v>
      </c>
      <c r="B41" s="45" t="s">
        <v>65</v>
      </c>
      <c r="C41" s="19" t="s">
        <v>58</v>
      </c>
      <c r="D41" s="19" t="s">
        <v>58</v>
      </c>
      <c r="E41" s="19" t="s">
        <v>43</v>
      </c>
      <c r="F41" s="19" t="s">
        <v>59</v>
      </c>
      <c r="G41" s="19" t="s">
        <v>59</v>
      </c>
      <c r="H41" s="19" t="s">
        <v>59</v>
      </c>
      <c r="I41" s="44" t="s">
        <v>1049</v>
      </c>
      <c r="J41" s="20" t="s">
        <v>48</v>
      </c>
      <c r="K41" s="20" t="s">
        <v>48</v>
      </c>
      <c r="L41" s="20" t="s">
        <v>48</v>
      </c>
      <c r="M41" s="20" t="s">
        <v>59</v>
      </c>
      <c r="N41" s="20" t="s">
        <v>59</v>
      </c>
      <c r="O41" s="20" t="s">
        <v>48</v>
      </c>
      <c r="P41" s="20" t="s">
        <v>43</v>
      </c>
      <c r="Q41" s="20" t="s">
        <v>58</v>
      </c>
      <c r="R41" s="20" t="s">
        <v>58</v>
      </c>
      <c r="S41" s="20" t="s">
        <v>48</v>
      </c>
      <c r="T41" s="20" t="s">
        <v>59</v>
      </c>
      <c r="U41" s="20" t="s">
        <v>59</v>
      </c>
      <c r="V41" s="20" t="s">
        <v>59</v>
      </c>
      <c r="W41" s="20"/>
      <c r="X41" s="21" t="str" cm="1">
        <f t="array" ref="X41">IFERROR(_xlfn.LET(_xlpm.r,C41:H41,_xlpm.base,IF(ISNUMBER(SEARCH(" (",_xlpm.r)),LEFT(_xlpm.r,SEARCH(" (",_xlpm.r)-1),_xlpm.r),_xlpm.cnt,_xlfn.MAP(_xlpm.base,_xlfn.LAMBDA(_xlpm.v,IF(_xlpm.v="—",0,SUM(--(_xlpm.base=_xlpm.v))))),INDEX(_xlpm.base,MATCH(MAX(_xlpm.cnt),_xlpm.cnt,0))),"—")</f>
        <v>Lemon</v>
      </c>
    </row>
    <row r="42" spans="1:24" x14ac:dyDescent="0.35">
      <c r="A42" s="17">
        <v>14</v>
      </c>
      <c r="B42" s="18" t="s">
        <v>18</v>
      </c>
      <c r="C42" s="19" t="s">
        <v>63</v>
      </c>
      <c r="D42" s="19" t="s">
        <v>63</v>
      </c>
      <c r="E42" s="19" t="s">
        <v>43</v>
      </c>
      <c r="F42" s="19" t="s">
        <v>48</v>
      </c>
      <c r="G42" s="19" t="s">
        <v>50</v>
      </c>
      <c r="H42" s="19" t="s">
        <v>63</v>
      </c>
      <c r="I42" s="20" t="s">
        <v>66</v>
      </c>
      <c r="J42" s="20" t="s">
        <v>66</v>
      </c>
      <c r="K42" s="20" t="s">
        <v>66</v>
      </c>
      <c r="L42" s="20" t="s">
        <v>66</v>
      </c>
      <c r="M42" s="20" t="s">
        <v>63</v>
      </c>
      <c r="N42" s="20" t="s">
        <v>66</v>
      </c>
      <c r="O42" s="20" t="s">
        <v>55</v>
      </c>
      <c r="P42" s="20" t="s">
        <v>43</v>
      </c>
      <c r="Q42" s="20" t="s">
        <v>63</v>
      </c>
      <c r="R42" s="20" t="s">
        <v>63</v>
      </c>
      <c r="S42" s="20" t="s">
        <v>66</v>
      </c>
      <c r="T42" s="20" t="s">
        <v>61</v>
      </c>
      <c r="U42" s="20" t="s">
        <v>66</v>
      </c>
      <c r="V42" s="20" t="s">
        <v>66</v>
      </c>
      <c r="W42" s="20"/>
      <c r="X42" s="21" t="str" cm="1">
        <f t="array" ref="X42">IFERROR(_xlfn.LET(_xlpm.r,C42:H42,_xlpm.base,IF(ISNUMBER(SEARCH(" (",_xlpm.r)),LEFT(_xlpm.r,SEARCH(" (",_xlpm.r)-1),_xlpm.r),_xlpm.cnt,_xlfn.MAP(_xlpm.base,_xlfn.LAMBDA(_xlpm.v,IF(_xlpm.v="—",0,SUM(--(_xlpm.base=_xlpm.v))))),INDEX(_xlpm.base,MATCH(MAX(_xlpm.cnt),_xlpm.cnt,0))),"—")</f>
        <v>Sadiq</v>
      </c>
    </row>
    <row r="43" spans="1:24" x14ac:dyDescent="0.35">
      <c r="A43" s="17">
        <v>15</v>
      </c>
      <c r="B43" s="18" t="s">
        <v>19</v>
      </c>
      <c r="C43" s="19" t="s">
        <v>66</v>
      </c>
      <c r="D43" s="19" t="s">
        <v>66</v>
      </c>
      <c r="E43" s="19" t="s">
        <v>43</v>
      </c>
      <c r="F43" s="19" t="s">
        <v>63</v>
      </c>
      <c r="G43" s="19" t="s">
        <v>68</v>
      </c>
      <c r="H43" s="19" t="s">
        <v>60</v>
      </c>
      <c r="I43" s="20" t="s">
        <v>68</v>
      </c>
      <c r="J43" s="20" t="s">
        <v>68</v>
      </c>
      <c r="K43" s="20" t="s">
        <v>63</v>
      </c>
      <c r="L43" s="20" t="s">
        <v>63</v>
      </c>
      <c r="M43" s="20" t="s">
        <v>66</v>
      </c>
      <c r="N43" s="20" t="s">
        <v>68</v>
      </c>
      <c r="O43" s="20" t="s">
        <v>63</v>
      </c>
      <c r="P43" s="20" t="s">
        <v>43</v>
      </c>
      <c r="Q43" s="20" t="s">
        <v>70</v>
      </c>
      <c r="R43" s="20" t="s">
        <v>69</v>
      </c>
      <c r="S43" s="20" t="s">
        <v>68</v>
      </c>
      <c r="T43" s="20" t="s">
        <v>63</v>
      </c>
      <c r="U43" s="20" t="s">
        <v>66</v>
      </c>
      <c r="V43" s="20" t="s">
        <v>63</v>
      </c>
      <c r="W43" s="20"/>
      <c r="X43" s="21" t="str" cm="1">
        <f t="array" ref="X43">IFERROR(_xlfn.LET(_xlpm.r,C43:H43,_xlpm.base,IF(ISNUMBER(SEARCH(" (",_xlpm.r)),LEFT(_xlpm.r,SEARCH(" (",_xlpm.r)-1),_xlpm.r),_xlpm.cnt,_xlfn.MAP(_xlpm.base,_xlfn.LAMBDA(_xlpm.v,IF(_xlpm.v="—",0,SUM(--(_xlpm.base=_xlpm.v))))),INDEX(_xlpm.base,MATCH(MAX(_xlpm.cnt),_xlpm.cnt,0))),"—")</f>
        <v>Ioane</v>
      </c>
    </row>
    <row r="44" spans="1:24" x14ac:dyDescent="0.35">
      <c r="A44" s="17">
        <v>16</v>
      </c>
      <c r="B44" s="45" t="s">
        <v>20</v>
      </c>
      <c r="C44" s="19" t="s">
        <v>59</v>
      </c>
      <c r="D44" s="19" t="s">
        <v>59</v>
      </c>
      <c r="E44" s="19" t="s">
        <v>43</v>
      </c>
      <c r="F44" s="19" t="s">
        <v>71</v>
      </c>
      <c r="G44" s="19" t="s">
        <v>71</v>
      </c>
      <c r="H44" s="19" t="s">
        <v>71</v>
      </c>
      <c r="I44" s="20" t="s">
        <v>72</v>
      </c>
      <c r="J44" s="20" t="s">
        <v>72</v>
      </c>
      <c r="K44" s="20" t="s">
        <v>58</v>
      </c>
      <c r="L44" s="20" t="s">
        <v>58</v>
      </c>
      <c r="M44" s="20" t="s">
        <v>59</v>
      </c>
      <c r="N44" s="20" t="s">
        <v>58</v>
      </c>
      <c r="O44" s="20" t="s">
        <v>59</v>
      </c>
      <c r="P44" s="20" t="s">
        <v>72</v>
      </c>
      <c r="Q44" s="20" t="s">
        <v>60</v>
      </c>
      <c r="R44" s="20" t="s">
        <v>60</v>
      </c>
      <c r="S44" s="20" t="s">
        <v>59</v>
      </c>
      <c r="T44" s="20" t="s">
        <v>58</v>
      </c>
      <c r="U44" s="20" t="s">
        <v>59</v>
      </c>
      <c r="V44" s="20" t="s">
        <v>71</v>
      </c>
      <c r="W44" s="20"/>
      <c r="X44" s="21" t="str" cm="1">
        <f t="array" ref="X44">IFERROR(_xlfn.LET(_xlpm.r,C44:H44,_xlpm.base,IF(ISNUMBER(SEARCH(" (",_xlpm.r)),LEFT(_xlpm.r,SEARCH(" (",_xlpm.r)-1),_xlpm.r),_xlpm.cnt,_xlfn.MAP(_xlpm.base,_xlfn.LAMBDA(_xlpm.v,IF(_xlpm.v="—",0,SUM(--(_xlpm.base=_xlpm.v))))),INDEX(_xlpm.base,MATCH(MAX(_xlpm.cnt),_xlpm.cnt,0))),"—")</f>
        <v>Cooper Jr.</v>
      </c>
    </row>
    <row r="45" spans="1:24" ht="24.5" x14ac:dyDescent="0.35">
      <c r="A45" s="17">
        <v>17</v>
      </c>
      <c r="B45" s="18" t="s">
        <v>21</v>
      </c>
      <c r="C45" s="19" t="s">
        <v>55</v>
      </c>
      <c r="D45" s="19" t="s">
        <v>55</v>
      </c>
      <c r="E45" s="19" t="s">
        <v>43</v>
      </c>
      <c r="F45" s="19" t="s">
        <v>55</v>
      </c>
      <c r="G45" s="19" t="s">
        <v>152</v>
      </c>
      <c r="H45" s="19" t="s">
        <v>66</v>
      </c>
      <c r="I45" s="44" t="s">
        <v>1050</v>
      </c>
      <c r="J45" s="44" t="s">
        <v>1050</v>
      </c>
      <c r="K45" s="44" t="s">
        <v>1051</v>
      </c>
      <c r="L45" s="20" t="s">
        <v>55</v>
      </c>
      <c r="M45" s="20" t="s">
        <v>55</v>
      </c>
      <c r="N45" s="20" t="s">
        <v>57</v>
      </c>
      <c r="O45" s="20" t="s">
        <v>66</v>
      </c>
      <c r="P45" s="20" t="s">
        <v>43</v>
      </c>
      <c r="Q45" s="20" t="s">
        <v>57</v>
      </c>
      <c r="R45" s="20" t="s">
        <v>57</v>
      </c>
      <c r="S45" s="20" t="s">
        <v>55</v>
      </c>
      <c r="T45" s="20" t="s">
        <v>47</v>
      </c>
      <c r="U45" s="20" t="s">
        <v>55</v>
      </c>
      <c r="V45" s="20" t="s">
        <v>57</v>
      </c>
      <c r="W45" s="20"/>
      <c r="X45" s="21" t="str" cm="1">
        <f t="array" ref="X45">IFERROR(_xlfn.LET(_xlpm.r,C45:H45,_xlpm.base,IF(ISNUMBER(SEARCH(" (",_xlpm.r)),LEFT(_xlpm.r,SEARCH(" (",_xlpm.r)-1),_xlpm.r),_xlpm.cnt,_xlfn.MAP(_xlpm.base,_xlfn.LAMBDA(_xlpm.v,IF(_xlpm.v="—",0,SUM(--(_xlpm.base=_xlpm.v))))),INDEX(_xlpm.base,MATCH(MAX(_xlpm.cnt),_xlpm.cnt,0))),"—")</f>
        <v>Freeling</v>
      </c>
    </row>
    <row r="46" spans="1:24" x14ac:dyDescent="0.35">
      <c r="A46" s="17">
        <v>18</v>
      </c>
      <c r="B46" s="18" t="s">
        <v>22</v>
      </c>
      <c r="C46" s="19" t="s">
        <v>60</v>
      </c>
      <c r="D46" s="19" t="s">
        <v>60</v>
      </c>
      <c r="E46" s="19" t="s">
        <v>43</v>
      </c>
      <c r="F46" s="19" t="s">
        <v>75</v>
      </c>
      <c r="G46" s="19" t="s">
        <v>76</v>
      </c>
      <c r="H46" s="19" t="s">
        <v>75</v>
      </c>
      <c r="I46" s="20" t="s">
        <v>67</v>
      </c>
      <c r="J46" s="20" t="s">
        <v>67</v>
      </c>
      <c r="K46" s="20" t="s">
        <v>60</v>
      </c>
      <c r="L46" s="20" t="s">
        <v>60</v>
      </c>
      <c r="M46" s="20" t="s">
        <v>75</v>
      </c>
      <c r="N46" s="20" t="s">
        <v>75</v>
      </c>
      <c r="O46" s="20" t="s">
        <v>75</v>
      </c>
      <c r="P46" s="20" t="s">
        <v>43</v>
      </c>
      <c r="Q46" s="20" t="s">
        <v>61</v>
      </c>
      <c r="R46" s="20" t="s">
        <v>61</v>
      </c>
      <c r="S46" s="20" t="s">
        <v>75</v>
      </c>
      <c r="T46" s="20" t="s">
        <v>67</v>
      </c>
      <c r="U46" s="20" t="s">
        <v>75</v>
      </c>
      <c r="V46" s="20" t="s">
        <v>75</v>
      </c>
      <c r="W46" s="20"/>
      <c r="X46" s="21" t="str" cm="1">
        <f t="array" ref="X46">IFERROR(_xlfn.LET(_xlpm.r,C46:H46,_xlpm.base,IF(ISNUMBER(SEARCH(" (",_xlpm.r)),LEFT(_xlpm.r,SEARCH(" (",_xlpm.r)-1),_xlpm.r),_xlpm.cnt,_xlfn.MAP(_xlpm.base,_xlfn.LAMBDA(_xlpm.v,IF(_xlpm.v="—",0,SUM(--(_xlpm.base=_xlpm.v))))),INDEX(_xlpm.base,MATCH(MAX(_xlpm.cnt),_xlpm.cnt,0))),"—")</f>
        <v>McCoy</v>
      </c>
    </row>
    <row r="47" spans="1:24" x14ac:dyDescent="0.35">
      <c r="A47" s="17">
        <v>19</v>
      </c>
      <c r="B47" s="18" t="s">
        <v>23</v>
      </c>
      <c r="C47" s="19" t="s">
        <v>75</v>
      </c>
      <c r="D47" s="19" t="s">
        <v>75</v>
      </c>
      <c r="E47" s="19" t="s">
        <v>43</v>
      </c>
      <c r="F47" s="19" t="s">
        <v>74</v>
      </c>
      <c r="G47" s="19" t="s">
        <v>63</v>
      </c>
      <c r="H47" s="19" t="s">
        <v>55</v>
      </c>
      <c r="I47" s="20" t="s">
        <v>63</v>
      </c>
      <c r="J47" s="20" t="s">
        <v>63</v>
      </c>
      <c r="K47" s="20" t="s">
        <v>152</v>
      </c>
      <c r="L47" s="20" t="s">
        <v>152</v>
      </c>
      <c r="M47" s="20" t="s">
        <v>63</v>
      </c>
      <c r="N47" s="20" t="s">
        <v>63</v>
      </c>
      <c r="O47" s="20" t="s">
        <v>58</v>
      </c>
      <c r="P47" s="20" t="s">
        <v>43</v>
      </c>
      <c r="Q47" s="20" t="s">
        <v>152</v>
      </c>
      <c r="R47" s="20" t="s">
        <v>152</v>
      </c>
      <c r="S47" s="20" t="s">
        <v>63</v>
      </c>
      <c r="T47" s="20" t="s">
        <v>63</v>
      </c>
      <c r="U47" s="20" t="s">
        <v>63</v>
      </c>
      <c r="V47" s="20" t="s">
        <v>58</v>
      </c>
      <c r="W47" s="20"/>
      <c r="X47" s="21" t="str" cm="1">
        <f t="array" ref="X47">IFERROR(_xlfn.LET(_xlpm.r,C47:H47,_xlpm.base,IF(ISNUMBER(SEARCH(" (",_xlpm.r)),LEFT(_xlpm.r,SEARCH(" (",_xlpm.r)-1),_xlpm.r),_xlpm.cnt,_xlfn.MAP(_xlpm.base,_xlfn.LAMBDA(_xlpm.v,IF(_xlpm.v="—",0,SUM(--(_xlpm.base=_xlpm.v))))),INDEX(_xlpm.base,MATCH(MAX(_xlpm.cnt),_xlpm.cnt,0))),"—")</f>
        <v>Thieneman</v>
      </c>
    </row>
    <row r="48" spans="1:24" ht="24.5" x14ac:dyDescent="0.35">
      <c r="A48" s="17">
        <v>20</v>
      </c>
      <c r="B48" s="45" t="s">
        <v>78</v>
      </c>
      <c r="C48" s="44" t="s">
        <v>1052</v>
      </c>
      <c r="D48" s="44" t="s">
        <v>1052</v>
      </c>
      <c r="E48" s="19" t="s">
        <v>43</v>
      </c>
      <c r="F48" s="44" t="s">
        <v>1053</v>
      </c>
      <c r="G48" s="19" t="s">
        <v>60</v>
      </c>
      <c r="H48" s="19" t="s">
        <v>68</v>
      </c>
      <c r="I48" s="44" t="s">
        <v>1054</v>
      </c>
      <c r="J48" s="44" t="s">
        <v>1054</v>
      </c>
      <c r="K48" s="20" t="s">
        <v>68</v>
      </c>
      <c r="L48" s="20" t="s">
        <v>68</v>
      </c>
      <c r="M48" s="20" t="s">
        <v>62</v>
      </c>
      <c r="N48" s="20" t="s">
        <v>64</v>
      </c>
      <c r="O48" s="20" t="s">
        <v>68</v>
      </c>
      <c r="P48" s="20" t="s">
        <v>43</v>
      </c>
      <c r="Q48" s="20" t="s">
        <v>66</v>
      </c>
      <c r="R48" s="20" t="s">
        <v>66</v>
      </c>
      <c r="S48" s="20" t="s">
        <v>70</v>
      </c>
      <c r="T48" s="20" t="s">
        <v>64</v>
      </c>
      <c r="U48" s="20" t="s">
        <v>68</v>
      </c>
      <c r="V48" s="20" t="s">
        <v>62</v>
      </c>
      <c r="W48" s="20"/>
      <c r="X48" s="21" t="str" cm="1">
        <f t="array" ref="X48">IFERROR(_xlfn.LET(_xlpm.r,C48:H48,_xlpm.base,IF(ISNUMBER(SEARCH(" (",_xlpm.r)),LEFT(_xlpm.r,SEARCH(" (",_xlpm.r)-1),_xlpm.r),_xlpm.cnt,_xlfn.MAP(_xlpm.base,_xlfn.LAMBDA(_xlpm.v,IF(_xlpm.v="—",0,SUM(--(_xlpm.base=_xlpm.v))))),INDEX(_xlpm.base,MATCH(MAX(_xlpm.cnt),_xlpm.cnt,0))),"—")</f>
        <v>Concepcion</v>
      </c>
    </row>
    <row r="49" spans="1:24" x14ac:dyDescent="0.35">
      <c r="A49" s="17">
        <v>21</v>
      </c>
      <c r="B49" s="18" t="s">
        <v>24</v>
      </c>
      <c r="C49" s="19" t="s">
        <v>71</v>
      </c>
      <c r="D49" s="19" t="s">
        <v>71</v>
      </c>
      <c r="E49" s="19" t="s">
        <v>43</v>
      </c>
      <c r="F49" s="19" t="s">
        <v>66</v>
      </c>
      <c r="G49" s="19" t="s">
        <v>66</v>
      </c>
      <c r="H49" s="19" t="s">
        <v>80</v>
      </c>
      <c r="I49" s="20" t="s">
        <v>152</v>
      </c>
      <c r="J49" s="20" t="s">
        <v>152</v>
      </c>
      <c r="K49" s="20" t="s">
        <v>71</v>
      </c>
      <c r="L49" s="20" t="s">
        <v>71</v>
      </c>
      <c r="M49" s="20" t="s">
        <v>152</v>
      </c>
      <c r="N49" s="20" t="s">
        <v>74</v>
      </c>
      <c r="O49" s="20" t="s">
        <v>152</v>
      </c>
      <c r="P49" s="20" t="s">
        <v>43</v>
      </c>
      <c r="Q49" s="20" t="s">
        <v>66</v>
      </c>
      <c r="R49" s="20" t="s">
        <v>66</v>
      </c>
      <c r="S49" s="20" t="s">
        <v>57</v>
      </c>
      <c r="T49" s="20" t="s">
        <v>72</v>
      </c>
      <c r="U49" s="20" t="s">
        <v>71</v>
      </c>
      <c r="V49" s="20" t="s">
        <v>72</v>
      </c>
      <c r="W49" s="20"/>
      <c r="X49" s="21" t="str" cm="1">
        <f t="array" ref="X49">IFERROR(_xlfn.LET(_xlpm.r,C49:H49,_xlpm.base,IF(ISNUMBER(SEARCH(" (",_xlpm.r)),LEFT(_xlpm.r,SEARCH(" (",_xlpm.r)-1),_xlpm.r),_xlpm.cnt,_xlfn.MAP(_xlpm.base,_xlfn.LAMBDA(_xlpm.v,IF(_xlpm.v="—",0,SUM(--(_xlpm.base=_xlpm.v))))),INDEX(_xlpm.base,MATCH(MAX(_xlpm.cnt),_xlpm.cnt,0))),"—")</f>
        <v>Cooper Jr.</v>
      </c>
    </row>
    <row r="50" spans="1:24" ht="24.5" x14ac:dyDescent="0.35">
      <c r="A50" s="17">
        <v>22</v>
      </c>
      <c r="B50" s="18" t="s">
        <v>25</v>
      </c>
      <c r="C50" s="19" t="s">
        <v>68</v>
      </c>
      <c r="D50" s="19" t="s">
        <v>68</v>
      </c>
      <c r="E50" s="19" t="s">
        <v>43</v>
      </c>
      <c r="F50" s="19" t="s">
        <v>61</v>
      </c>
      <c r="G50" s="44" t="s">
        <v>1055</v>
      </c>
      <c r="H50" s="19" t="s">
        <v>73</v>
      </c>
      <c r="I50" s="44" t="s">
        <v>1056</v>
      </c>
      <c r="J50" s="44" t="s">
        <v>1056</v>
      </c>
      <c r="K50" s="20" t="s">
        <v>67</v>
      </c>
      <c r="L50" s="20" t="s">
        <v>67</v>
      </c>
      <c r="M50" s="20" t="s">
        <v>68</v>
      </c>
      <c r="N50" s="20" t="s">
        <v>69</v>
      </c>
      <c r="O50" s="20" t="s">
        <v>79</v>
      </c>
      <c r="P50" s="20" t="s">
        <v>43</v>
      </c>
      <c r="Q50" s="20" t="s">
        <v>84</v>
      </c>
      <c r="R50" s="20" t="s">
        <v>84</v>
      </c>
      <c r="S50" s="20" t="s">
        <v>153</v>
      </c>
      <c r="T50" s="20" t="s">
        <v>67</v>
      </c>
      <c r="U50" s="20" t="s">
        <v>68</v>
      </c>
      <c r="V50" s="20" t="s">
        <v>61</v>
      </c>
      <c r="W50" s="20"/>
      <c r="X50" s="21" t="str" cm="1">
        <f t="array" ref="X50">IFERROR(_xlfn.LET(_xlpm.r,C50:H50,_xlpm.base,IF(ISNUMBER(SEARCH(" (",_xlpm.r)),LEFT(_xlpm.r,SEARCH(" (",_xlpm.r)-1),_xlpm.r),_xlpm.cnt,_xlfn.MAP(_xlpm.base,_xlfn.LAMBDA(_xlpm.v,IF(_xlpm.v="—",0,SUM(--(_xlpm.base=_xlpm.v))))),INDEX(_xlpm.base,MATCH(MAX(_xlpm.cnt),_xlpm.cnt,0))),"—")</f>
        <v>Mesidor</v>
      </c>
    </row>
    <row r="51" spans="1:24" x14ac:dyDescent="0.35">
      <c r="A51" s="17">
        <v>23</v>
      </c>
      <c r="B51" s="18" t="s">
        <v>26</v>
      </c>
      <c r="C51" s="19" t="s">
        <v>57</v>
      </c>
      <c r="D51" s="19" t="s">
        <v>57</v>
      </c>
      <c r="E51" s="19" t="s">
        <v>43</v>
      </c>
      <c r="F51" s="19" t="s">
        <v>152</v>
      </c>
      <c r="G51" s="19" t="s">
        <v>55</v>
      </c>
      <c r="H51" s="19" t="s">
        <v>76</v>
      </c>
      <c r="I51" s="20" t="s">
        <v>59</v>
      </c>
      <c r="J51" s="20" t="s">
        <v>59</v>
      </c>
      <c r="K51" s="20" t="s">
        <v>55</v>
      </c>
      <c r="L51" s="20" t="s">
        <v>55</v>
      </c>
      <c r="M51" s="20" t="s">
        <v>79</v>
      </c>
      <c r="N51" s="20" t="s">
        <v>55</v>
      </c>
      <c r="O51" s="20" t="s">
        <v>74</v>
      </c>
      <c r="P51" s="20" t="s">
        <v>43</v>
      </c>
      <c r="Q51" s="20" t="s">
        <v>56</v>
      </c>
      <c r="R51" s="20" t="s">
        <v>56</v>
      </c>
      <c r="S51" s="20" t="s">
        <v>81</v>
      </c>
      <c r="T51" s="20" t="s">
        <v>79</v>
      </c>
      <c r="U51" s="20" t="s">
        <v>57</v>
      </c>
      <c r="V51" s="20" t="s">
        <v>81</v>
      </c>
      <c r="W51" s="20"/>
      <c r="X51" s="21" t="str" cm="1">
        <f t="array" ref="X51">IFERROR(_xlfn.LET(_xlpm.r,C51:H51,_xlpm.base,IF(ISNUMBER(SEARCH(" (",_xlpm.r)),LEFT(_xlpm.r,SEARCH(" (",_xlpm.r)-1),_xlpm.r),_xlpm.cnt,_xlfn.MAP(_xlpm.base,_xlfn.LAMBDA(_xlpm.v,IF(_xlpm.v="—",0,SUM(--(_xlpm.base=_xlpm.v))))),INDEX(_xlpm.base,MATCH(MAX(_xlpm.cnt),_xlpm.cnt,0))),"—")</f>
        <v>Proctor</v>
      </c>
    </row>
    <row r="52" spans="1:24" ht="24.5" x14ac:dyDescent="0.35">
      <c r="A52" s="17">
        <v>24</v>
      </c>
      <c r="B52" s="45" t="s">
        <v>82</v>
      </c>
      <c r="C52" s="19" t="s">
        <v>74</v>
      </c>
      <c r="D52" s="19" t="s">
        <v>74</v>
      </c>
      <c r="E52" s="19" t="s">
        <v>43</v>
      </c>
      <c r="F52" s="19" t="s">
        <v>60</v>
      </c>
      <c r="G52" s="19" t="s">
        <v>77</v>
      </c>
      <c r="H52" s="19" t="s">
        <v>77</v>
      </c>
      <c r="I52" s="44" t="s">
        <v>1057</v>
      </c>
      <c r="J52" s="20" t="s">
        <v>69</v>
      </c>
      <c r="K52" s="20" t="s">
        <v>62</v>
      </c>
      <c r="L52" s="20" t="s">
        <v>62</v>
      </c>
      <c r="M52" s="20" t="s">
        <v>77</v>
      </c>
      <c r="N52" s="20" t="s">
        <v>71</v>
      </c>
      <c r="O52" s="20" t="s">
        <v>56</v>
      </c>
      <c r="P52" s="20" t="s">
        <v>43</v>
      </c>
      <c r="Q52" s="20" t="s">
        <v>55</v>
      </c>
      <c r="R52" s="20" t="s">
        <v>55</v>
      </c>
      <c r="S52" s="20" t="s">
        <v>56</v>
      </c>
      <c r="T52" s="20" t="s">
        <v>57</v>
      </c>
      <c r="U52" s="20" t="s">
        <v>74</v>
      </c>
      <c r="V52" s="20" t="s">
        <v>77</v>
      </c>
      <c r="W52" s="20"/>
      <c r="X52" s="21" t="str" cm="1">
        <f t="array" ref="X52">IFERROR(_xlfn.LET(_xlpm.r,C52:H52,_xlpm.base,IF(ISNUMBER(SEARCH(" (",_xlpm.r)),LEFT(_xlpm.r,SEARCH(" (",_xlpm.r)-1),_xlpm.r),_xlpm.cnt,_xlfn.MAP(_xlpm.base,_xlfn.LAMBDA(_xlpm.v,IF(_xlpm.v="—",0,SUM(--(_xlpm.base=_xlpm.v))))),INDEX(_xlpm.base,MATCH(MAX(_xlpm.cnt),_xlpm.cnt,0))),"—")</f>
        <v>McNeil-Warren</v>
      </c>
    </row>
    <row r="53" spans="1:24" ht="24.5" x14ac:dyDescent="0.35">
      <c r="A53" s="17">
        <v>25</v>
      </c>
      <c r="B53" s="18" t="s">
        <v>27</v>
      </c>
      <c r="C53" s="19" t="s">
        <v>80</v>
      </c>
      <c r="D53" s="19" t="s">
        <v>80</v>
      </c>
      <c r="E53" s="19" t="s">
        <v>43</v>
      </c>
      <c r="F53" s="19" t="s">
        <v>83</v>
      </c>
      <c r="G53" s="44" t="s">
        <v>1058</v>
      </c>
      <c r="H53" s="19" t="s">
        <v>57</v>
      </c>
      <c r="I53" s="44" t="s">
        <v>1059</v>
      </c>
      <c r="J53" s="44" t="s">
        <v>1059</v>
      </c>
      <c r="K53" s="20" t="s">
        <v>74</v>
      </c>
      <c r="L53" s="20" t="s">
        <v>74</v>
      </c>
      <c r="M53" s="20" t="s">
        <v>84</v>
      </c>
      <c r="N53" s="20" t="s">
        <v>56</v>
      </c>
      <c r="O53" s="20" t="s">
        <v>62</v>
      </c>
      <c r="P53" s="20" t="s">
        <v>43</v>
      </c>
      <c r="Q53" s="20" t="s">
        <v>62</v>
      </c>
      <c r="R53" s="20" t="s">
        <v>62</v>
      </c>
      <c r="S53" s="20" t="s">
        <v>74</v>
      </c>
      <c r="T53" s="20" t="s">
        <v>154</v>
      </c>
      <c r="U53" s="20" t="s">
        <v>80</v>
      </c>
      <c r="V53" s="20" t="s">
        <v>80</v>
      </c>
      <c r="W53" s="20"/>
      <c r="X53" s="21" t="str" cm="1">
        <f t="array" ref="X53">IFERROR(_xlfn.LET(_xlpm.r,C53:H53,_xlpm.base,IF(ISNUMBER(SEARCH(" (",_xlpm.r)),LEFT(_xlpm.r,SEARCH(" (",_xlpm.r)-1),_xlpm.r),_xlpm.cnt,_xlfn.MAP(_xlpm.base,_xlfn.LAMBDA(_xlpm.v,IF(_xlpm.v="—",0,SUM(--(_xlpm.base=_xlpm.v))))),INDEX(_xlpm.base,MATCH(MAX(_xlpm.cnt),_xlpm.cnt,0))),"—")</f>
        <v>Parker</v>
      </c>
    </row>
    <row r="54" spans="1:24" ht="24.5" x14ac:dyDescent="0.35">
      <c r="A54" s="17">
        <v>26</v>
      </c>
      <c r="B54" s="18" t="s">
        <v>28</v>
      </c>
      <c r="C54" s="19" t="s">
        <v>85</v>
      </c>
      <c r="D54" s="19" t="s">
        <v>85</v>
      </c>
      <c r="E54" s="19" t="s">
        <v>43</v>
      </c>
      <c r="F54" s="19" t="s">
        <v>62</v>
      </c>
      <c r="G54" s="19" t="s">
        <v>62</v>
      </c>
      <c r="H54" s="19" t="s">
        <v>84</v>
      </c>
      <c r="I54" s="44" t="s">
        <v>1055</v>
      </c>
      <c r="J54" s="44" t="s">
        <v>1055</v>
      </c>
      <c r="K54" s="44" t="s">
        <v>1060</v>
      </c>
      <c r="L54" s="20" t="s">
        <v>62</v>
      </c>
      <c r="M54" s="20" t="s">
        <v>70</v>
      </c>
      <c r="N54" s="20" t="s">
        <v>62</v>
      </c>
      <c r="O54" s="20" t="s">
        <v>69</v>
      </c>
      <c r="P54" s="20" t="s">
        <v>43</v>
      </c>
      <c r="Q54" s="20" t="s">
        <v>76</v>
      </c>
      <c r="R54" s="20" t="s">
        <v>76</v>
      </c>
      <c r="S54" s="20" t="s">
        <v>71</v>
      </c>
      <c r="T54" s="20" t="s">
        <v>76</v>
      </c>
      <c r="U54" s="20" t="s">
        <v>85</v>
      </c>
      <c r="V54" s="20" t="s">
        <v>69</v>
      </c>
      <c r="W54" s="20"/>
      <c r="X54" s="21" t="str" cm="1">
        <f t="array" ref="X54">IFERROR(_xlfn.LET(_xlpm.r,C54:H54,_xlpm.base,IF(ISNUMBER(SEARCH(" (",_xlpm.r)),LEFT(_xlpm.r,SEARCH(" (",_xlpm.r)-1),_xlpm.r),_xlpm.cnt,_xlfn.MAP(_xlpm.base,_xlfn.LAMBDA(_xlpm.v,IF(_xlpm.v="—",0,SUM(--(_xlpm.base=_xlpm.v))))),INDEX(_xlpm.base,MATCH(MAX(_xlpm.cnt),_xlpm.cnt,0))),"—")</f>
        <v>Lawrence</v>
      </c>
    </row>
    <row r="55" spans="1:24" x14ac:dyDescent="0.35">
      <c r="A55" s="17">
        <v>27</v>
      </c>
      <c r="B55" s="18" t="s">
        <v>29</v>
      </c>
      <c r="C55" s="19" t="s">
        <v>56</v>
      </c>
      <c r="D55" s="19" t="s">
        <v>56</v>
      </c>
      <c r="E55" s="19" t="s">
        <v>43</v>
      </c>
      <c r="F55" s="19" t="s">
        <v>81</v>
      </c>
      <c r="G55" s="19" t="s">
        <v>56</v>
      </c>
      <c r="H55" s="19" t="s">
        <v>56</v>
      </c>
      <c r="I55" s="20" t="s">
        <v>81</v>
      </c>
      <c r="J55" s="20" t="s">
        <v>81</v>
      </c>
      <c r="K55" s="20" t="s">
        <v>81</v>
      </c>
      <c r="L55" s="20" t="s">
        <v>81</v>
      </c>
      <c r="M55" s="20" t="s">
        <v>55</v>
      </c>
      <c r="N55" s="20" t="s">
        <v>152</v>
      </c>
      <c r="O55" s="20" t="s">
        <v>57</v>
      </c>
      <c r="P55" s="20" t="s">
        <v>43</v>
      </c>
      <c r="Q55" s="20" t="s">
        <v>77</v>
      </c>
      <c r="R55" s="20" t="s">
        <v>77</v>
      </c>
      <c r="S55" s="20" t="s">
        <v>77</v>
      </c>
      <c r="T55" s="20" t="s">
        <v>59</v>
      </c>
      <c r="U55" s="20" t="s">
        <v>56</v>
      </c>
      <c r="V55" s="20" t="s">
        <v>56</v>
      </c>
      <c r="W55" s="20"/>
      <c r="X55" s="21" t="str" cm="1">
        <f t="array" ref="X55">IFERROR(_xlfn.LET(_xlpm.r,C55:H55,_xlpm.base,IF(ISNUMBER(SEARCH(" (",_xlpm.r)),LEFT(_xlpm.r,SEARCH(" (",_xlpm.r)-1),_xlpm.r),_xlpm.cnt,_xlfn.MAP(_xlpm.base,_xlfn.LAMBDA(_xlpm.v,IF(_xlpm.v="—",0,SUM(--(_xlpm.base=_xlpm.v))))),INDEX(_xlpm.base,MATCH(MAX(_xlpm.cnt),_xlpm.cnt,0))),"—")</f>
        <v>Lomu</v>
      </c>
    </row>
    <row r="56" spans="1:24" x14ac:dyDescent="0.35">
      <c r="A56" s="17">
        <v>28</v>
      </c>
      <c r="B56" s="18" t="s">
        <v>30</v>
      </c>
      <c r="C56" s="19" t="s">
        <v>86</v>
      </c>
      <c r="D56" s="19" t="s">
        <v>86</v>
      </c>
      <c r="E56" s="19" t="s">
        <v>43</v>
      </c>
      <c r="F56" s="19" t="s">
        <v>87</v>
      </c>
      <c r="G56" s="19" t="s">
        <v>81</v>
      </c>
      <c r="H56" s="19" t="s">
        <v>81</v>
      </c>
      <c r="I56" s="20" t="s">
        <v>86</v>
      </c>
      <c r="J56" s="20" t="s">
        <v>86</v>
      </c>
      <c r="K56" s="20" t="s">
        <v>153</v>
      </c>
      <c r="L56" s="20" t="s">
        <v>153</v>
      </c>
      <c r="M56" s="20" t="s">
        <v>67</v>
      </c>
      <c r="N56" s="20" t="s">
        <v>70</v>
      </c>
      <c r="O56" s="20" t="s">
        <v>84</v>
      </c>
      <c r="P56" s="20" t="s">
        <v>43</v>
      </c>
      <c r="Q56" s="20" t="s">
        <v>81</v>
      </c>
      <c r="R56" s="20" t="s">
        <v>81</v>
      </c>
      <c r="S56" s="20" t="s">
        <v>61</v>
      </c>
      <c r="T56" s="20" t="s">
        <v>84</v>
      </c>
      <c r="U56" s="20" t="s">
        <v>86</v>
      </c>
      <c r="V56" s="20" t="s">
        <v>84</v>
      </c>
      <c r="W56" s="20"/>
      <c r="X56" s="21" t="str" cm="1">
        <f t="array" ref="X56">IFERROR(_xlfn.LET(_xlpm.r,C56:H56,_xlpm.base,IF(ISNUMBER(SEARCH(" (",_xlpm.r)),LEFT(_xlpm.r,SEARCH(" (",_xlpm.r)-1),_xlpm.r),_xlpm.cnt,_xlfn.MAP(_xlpm.base,_xlfn.LAMBDA(_xlpm.v,IF(_xlpm.v="—",0,SUM(--(_xlpm.base=_xlpm.v))))),INDEX(_xlpm.base,MATCH(MAX(_xlpm.cnt),_xlpm.cnt,0))),"—")</f>
        <v>Bisontis</v>
      </c>
    </row>
    <row r="57" spans="1:24" ht="24.5" x14ac:dyDescent="0.35">
      <c r="A57" s="17">
        <v>29</v>
      </c>
      <c r="B57" s="45" t="s">
        <v>88</v>
      </c>
      <c r="C57" s="19" t="s">
        <v>76</v>
      </c>
      <c r="D57" s="19" t="s">
        <v>76</v>
      </c>
      <c r="E57" s="19" t="s">
        <v>43</v>
      </c>
      <c r="F57" s="19" t="s">
        <v>64</v>
      </c>
      <c r="G57" s="19" t="s">
        <v>64</v>
      </c>
      <c r="H57" s="19" t="s">
        <v>64</v>
      </c>
      <c r="I57" s="44" t="s">
        <v>1061</v>
      </c>
      <c r="J57" s="44" t="s">
        <v>1061</v>
      </c>
      <c r="K57" s="44" t="s">
        <v>1062</v>
      </c>
      <c r="L57" s="44" t="s">
        <v>1062</v>
      </c>
      <c r="M57" s="20" t="s">
        <v>72</v>
      </c>
      <c r="N57" s="20" t="s">
        <v>64</v>
      </c>
      <c r="O57" s="20" t="s">
        <v>71</v>
      </c>
      <c r="P57" s="20" t="s">
        <v>43</v>
      </c>
      <c r="Q57" s="20" t="s">
        <v>75</v>
      </c>
      <c r="R57" s="20" t="s">
        <v>75</v>
      </c>
      <c r="S57" s="20" t="s">
        <v>79</v>
      </c>
      <c r="T57" s="20" t="s">
        <v>74</v>
      </c>
      <c r="U57" s="20" t="s">
        <v>64</v>
      </c>
      <c r="V57" s="20" t="s">
        <v>64</v>
      </c>
      <c r="W57" s="20"/>
      <c r="X57" s="21" t="str" cm="1">
        <f t="array" ref="X57">IFERROR(_xlfn.LET(_xlpm.r,C57:H57,_xlpm.base,IF(ISNUMBER(SEARCH(" (",_xlpm.r)),LEFT(_xlpm.r,SEARCH(" (",_xlpm.r)-1),_xlpm.r),_xlpm.cnt,_xlfn.MAP(_xlpm.base,_xlfn.LAMBDA(_xlpm.v,IF(_xlpm.v="—",0,SUM(--(_xlpm.base=_xlpm.v))))),INDEX(_xlpm.base,MATCH(MAX(_xlpm.cnt),_xlpm.cnt,0))),"—")</f>
        <v>Hood</v>
      </c>
    </row>
    <row r="58" spans="1:24" ht="24.5" x14ac:dyDescent="0.35">
      <c r="A58" s="17">
        <v>30</v>
      </c>
      <c r="B58" s="45" t="s">
        <v>89</v>
      </c>
      <c r="C58" s="19" t="s">
        <v>90</v>
      </c>
      <c r="D58" s="19" t="s">
        <v>90</v>
      </c>
      <c r="E58" s="19" t="s">
        <v>43</v>
      </c>
      <c r="F58" s="44" t="s">
        <v>1063</v>
      </c>
      <c r="G58" s="44" t="s">
        <v>1063</v>
      </c>
      <c r="H58" s="19" t="s">
        <v>75</v>
      </c>
      <c r="I58" s="20" t="s">
        <v>62</v>
      </c>
      <c r="J58" s="20" t="s">
        <v>62</v>
      </c>
      <c r="K58" s="20" t="s">
        <v>64</v>
      </c>
      <c r="L58" s="20" t="s">
        <v>64</v>
      </c>
      <c r="M58" s="20" t="s">
        <v>74</v>
      </c>
      <c r="N58" s="20" t="s">
        <v>77</v>
      </c>
      <c r="O58" s="20" t="s">
        <v>77</v>
      </c>
      <c r="P58" s="20" t="s">
        <v>72</v>
      </c>
      <c r="Q58" s="20" t="s">
        <v>79</v>
      </c>
      <c r="R58" s="20" t="s">
        <v>79</v>
      </c>
      <c r="S58" s="20" t="s">
        <v>64</v>
      </c>
      <c r="T58" s="20" t="s">
        <v>77</v>
      </c>
      <c r="U58" s="20" t="s">
        <v>72</v>
      </c>
      <c r="V58" s="20" t="s">
        <v>90</v>
      </c>
      <c r="W58" s="20"/>
      <c r="X58" s="21" t="str" cm="1">
        <f t="array" ref="X58">IFERROR(_xlfn.LET(_xlpm.r,C58:H58,_xlpm.base,IF(ISNUMBER(SEARCH(" (",_xlpm.r)),LEFT(_xlpm.r,SEARCH(" (",_xlpm.r)-1),_xlpm.r),_xlpm.cnt,_xlfn.MAP(_xlpm.base,_xlfn.LAMBDA(_xlpm.v,IF(_xlpm.v="—",0,SUM(--(_xlpm.base=_xlpm.v))))),INDEX(_xlpm.base,MATCH(MAX(_xlpm.cnt),_xlpm.cnt,0))),"—")</f>
        <v>Johnson</v>
      </c>
    </row>
    <row r="59" spans="1:24" x14ac:dyDescent="0.35">
      <c r="A59" s="17">
        <v>31</v>
      </c>
      <c r="B59" s="18" t="s">
        <v>31</v>
      </c>
      <c r="C59" s="19" t="s">
        <v>152</v>
      </c>
      <c r="D59" s="19" t="s">
        <v>152</v>
      </c>
      <c r="E59" s="19" t="s">
        <v>43</v>
      </c>
      <c r="F59" s="19" t="s">
        <v>68</v>
      </c>
      <c r="G59" s="19" t="s">
        <v>74</v>
      </c>
      <c r="H59" s="19" t="s">
        <v>91</v>
      </c>
      <c r="I59" s="20" t="s">
        <v>70</v>
      </c>
      <c r="J59" s="20" t="s">
        <v>70</v>
      </c>
      <c r="K59" s="20" t="s">
        <v>155</v>
      </c>
      <c r="L59" s="20" t="s">
        <v>155</v>
      </c>
      <c r="M59" s="20" t="s">
        <v>69</v>
      </c>
      <c r="N59" s="20" t="s">
        <v>76</v>
      </c>
      <c r="O59" s="20" t="s">
        <v>70</v>
      </c>
      <c r="P59" s="20" t="s">
        <v>43</v>
      </c>
      <c r="Q59" s="20" t="s">
        <v>74</v>
      </c>
      <c r="R59" s="20" t="s">
        <v>74</v>
      </c>
      <c r="S59" s="20" t="s">
        <v>84</v>
      </c>
      <c r="T59" s="20" t="s">
        <v>69</v>
      </c>
      <c r="U59" s="20" t="s">
        <v>152</v>
      </c>
      <c r="V59" s="20" t="s">
        <v>152</v>
      </c>
      <c r="W59" s="20"/>
      <c r="X59" s="21" t="str" cm="1">
        <f t="array" ref="X59">IFERROR(_xlfn.LET(_xlpm.r,C59:H59,_xlpm.base,IF(ISNUMBER(SEARCH(" (",_xlpm.r)),LEFT(_xlpm.r,SEARCH(" (",_xlpm.r)-1),_xlpm.r),_xlpm.cnt,_xlfn.MAP(_xlpm.base,_xlfn.LAMBDA(_xlpm.v,IF(_xlpm.v="—",0,SUM(--(_xlpm.base=_xlpm.v))))),INDEX(_xlpm.base,MATCH(MAX(_xlpm.cnt),_xlpm.cnt,0))),"—")</f>
        <v>Blake Miller</v>
      </c>
    </row>
    <row r="60" spans="1:24" x14ac:dyDescent="0.35">
      <c r="A60" s="17">
        <v>32</v>
      </c>
      <c r="B60" s="18" t="s">
        <v>32</v>
      </c>
      <c r="C60" s="19" t="s">
        <v>64</v>
      </c>
      <c r="D60" s="19" t="s">
        <v>64</v>
      </c>
      <c r="E60" s="19" t="s">
        <v>43</v>
      </c>
      <c r="F60" s="19" t="s">
        <v>92</v>
      </c>
      <c r="G60" s="19" t="s">
        <v>80</v>
      </c>
      <c r="H60" s="19" t="s">
        <v>92</v>
      </c>
      <c r="I60" s="20" t="s">
        <v>90</v>
      </c>
      <c r="J60" s="20" t="s">
        <v>90</v>
      </c>
      <c r="K60" s="20" t="s">
        <v>84</v>
      </c>
      <c r="L60" s="20" t="s">
        <v>84</v>
      </c>
      <c r="M60" s="20" t="s">
        <v>76</v>
      </c>
      <c r="N60" s="20" t="s">
        <v>79</v>
      </c>
      <c r="O60" s="20" t="s">
        <v>80</v>
      </c>
      <c r="P60" s="20" t="s">
        <v>43</v>
      </c>
      <c r="Q60" s="20" t="s">
        <v>64</v>
      </c>
      <c r="R60" s="20" t="s">
        <v>64</v>
      </c>
      <c r="S60" s="20" t="s">
        <v>90</v>
      </c>
      <c r="T60" s="20" t="s">
        <v>77</v>
      </c>
      <c r="U60" s="20" t="s">
        <v>92</v>
      </c>
      <c r="V60" s="20" t="s">
        <v>92</v>
      </c>
      <c r="W60" s="20"/>
      <c r="X60" s="21" t="str" cm="1">
        <f t="array" ref="X60">IFERROR(_xlfn.LET(_xlpm.r,C60:H60,_xlpm.base,IF(ISNUMBER(SEARCH(" (",_xlpm.r)),LEFT(_xlpm.r,SEARCH(" (",_xlpm.r)-1),_xlpm.r),_xlpm.cnt,_xlfn.MAP(_xlpm.base,_xlfn.LAMBDA(_xlpm.v,IF(_xlpm.v="—",0,SUM(--(_xlpm.base=_xlpm.v))))),INDEX(_xlpm.base,MATCH(MAX(_xlpm.cnt),_xlpm.cnt,0))),"—")</f>
        <v>Hood</v>
      </c>
    </row>
  </sheetData>
  <mergeCells count="3">
    <mergeCell ref="A1:X1"/>
    <mergeCell ref="A2:X2"/>
    <mergeCell ref="A26:X2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E3B83-1FFD-4670-A009-F018C2BE9273}">
  <dimension ref="A1:L54"/>
  <sheetViews>
    <sheetView workbookViewId="0">
      <pane ySplit="4" topLeftCell="A5" activePane="bottomLeft" state="frozen"/>
      <selection pane="bottomLeft" activeCell="K6" sqref="K6"/>
    </sheetView>
  </sheetViews>
  <sheetFormatPr defaultRowHeight="14.5" x14ac:dyDescent="0.35"/>
  <cols>
    <col min="1" max="1" width="5.453125" customWidth="1"/>
    <col min="2" max="2" width="16.36328125" customWidth="1"/>
    <col min="3" max="3" width="23.6328125" customWidth="1"/>
    <col min="4" max="4" width="25.453125" customWidth="1"/>
    <col min="5" max="5" width="30.90625" customWidth="1"/>
    <col min="6" max="6" width="10" customWidth="1"/>
    <col min="7" max="7" width="40" customWidth="1"/>
    <col min="8" max="8" width="15.453125" customWidth="1"/>
    <col min="9" max="9" width="38.1796875" customWidth="1"/>
    <col min="10" max="10" width="20" customWidth="1"/>
    <col min="11" max="11" width="16.36328125" customWidth="1"/>
    <col min="12" max="12" width="41.81640625" customWidth="1"/>
  </cols>
  <sheetData>
    <row r="1" spans="1:12" ht="18.5" x14ac:dyDescent="0.45">
      <c r="A1" s="22" t="s">
        <v>156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</row>
    <row r="2" spans="1:12" x14ac:dyDescent="0.35">
      <c r="A2" s="23" t="s">
        <v>157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</row>
    <row r="4" spans="1:12" ht="58" x14ac:dyDescent="0.35">
      <c r="A4" s="24" t="s">
        <v>158</v>
      </c>
      <c r="B4" s="24" t="s">
        <v>159</v>
      </c>
      <c r="C4" s="24" t="s">
        <v>160</v>
      </c>
      <c r="D4" s="24" t="s">
        <v>161</v>
      </c>
      <c r="E4" s="24" t="s">
        <v>162</v>
      </c>
      <c r="F4" s="24" t="s">
        <v>163</v>
      </c>
      <c r="G4" s="24" t="s">
        <v>164</v>
      </c>
      <c r="H4" s="24" t="s">
        <v>165</v>
      </c>
      <c r="I4" s="24" t="s">
        <v>166</v>
      </c>
      <c r="J4" s="24" t="s">
        <v>167</v>
      </c>
      <c r="K4" s="24" t="s">
        <v>168</v>
      </c>
      <c r="L4" s="24" t="s">
        <v>169</v>
      </c>
    </row>
    <row r="5" spans="1:12" ht="130.5" x14ac:dyDescent="0.35">
      <c r="A5" s="25">
        <v>1</v>
      </c>
      <c r="B5" s="25" t="s">
        <v>170</v>
      </c>
      <c r="C5" s="25" t="s">
        <v>16</v>
      </c>
      <c r="D5" s="25" t="s">
        <v>10</v>
      </c>
      <c r="E5" s="25" t="s">
        <v>171</v>
      </c>
      <c r="F5" s="25">
        <v>6</v>
      </c>
      <c r="G5" s="25" t="s">
        <v>172</v>
      </c>
      <c r="H5" s="26" t="s">
        <v>34</v>
      </c>
      <c r="I5" s="25" t="s">
        <v>173</v>
      </c>
      <c r="J5" s="25" t="s">
        <v>174</v>
      </c>
      <c r="K5" s="25" t="s">
        <v>175</v>
      </c>
      <c r="L5" s="25" t="s">
        <v>176</v>
      </c>
    </row>
    <row r="6" spans="1:12" ht="72.5" x14ac:dyDescent="0.35">
      <c r="A6" s="25">
        <v>2</v>
      </c>
      <c r="B6" s="25" t="s">
        <v>177</v>
      </c>
      <c r="C6" s="25" t="s">
        <v>7</v>
      </c>
      <c r="D6" s="25" t="s">
        <v>89</v>
      </c>
      <c r="E6" s="25" t="s">
        <v>178</v>
      </c>
      <c r="F6" s="25">
        <v>4</v>
      </c>
      <c r="G6" s="25" t="s">
        <v>179</v>
      </c>
      <c r="H6" s="26" t="s">
        <v>180</v>
      </c>
      <c r="I6" s="25" t="s">
        <v>181</v>
      </c>
      <c r="J6" s="25" t="s">
        <v>182</v>
      </c>
      <c r="K6" s="25" t="s">
        <v>183</v>
      </c>
      <c r="L6" s="25" t="s">
        <v>184</v>
      </c>
    </row>
    <row r="7" spans="1:12" ht="43.5" x14ac:dyDescent="0.35">
      <c r="A7" s="25">
        <v>3</v>
      </c>
      <c r="B7" s="25" t="s">
        <v>185</v>
      </c>
      <c r="C7" s="25" t="s">
        <v>10</v>
      </c>
      <c r="D7" s="25" t="s">
        <v>78</v>
      </c>
      <c r="E7" s="25" t="s">
        <v>186</v>
      </c>
      <c r="F7" s="25">
        <v>2</v>
      </c>
      <c r="G7" s="25" t="s">
        <v>377</v>
      </c>
      <c r="H7" s="26" t="s">
        <v>34</v>
      </c>
      <c r="I7" s="25" t="s">
        <v>187</v>
      </c>
      <c r="J7" s="25" t="s">
        <v>188</v>
      </c>
      <c r="K7" s="25" t="s">
        <v>189</v>
      </c>
      <c r="L7" s="25" t="s">
        <v>378</v>
      </c>
    </row>
    <row r="8" spans="1:12" ht="72.5" x14ac:dyDescent="0.35">
      <c r="A8" s="25">
        <v>4</v>
      </c>
      <c r="B8" s="25" t="s">
        <v>190</v>
      </c>
      <c r="C8" s="25" t="s">
        <v>17</v>
      </c>
      <c r="D8" s="25" t="s">
        <v>21</v>
      </c>
      <c r="E8" s="25" t="s">
        <v>191</v>
      </c>
      <c r="F8" s="25">
        <v>2</v>
      </c>
      <c r="G8" s="25" t="s">
        <v>192</v>
      </c>
      <c r="H8" s="25" t="s">
        <v>35</v>
      </c>
      <c r="I8" s="25" t="s">
        <v>193</v>
      </c>
      <c r="J8" s="25" t="s">
        <v>194</v>
      </c>
      <c r="K8" s="25" t="s">
        <v>195</v>
      </c>
      <c r="L8" s="25" t="s">
        <v>196</v>
      </c>
    </row>
    <row r="9" spans="1:12" ht="72.5" x14ac:dyDescent="0.35">
      <c r="A9" s="25">
        <v>5</v>
      </c>
      <c r="B9" s="25" t="s">
        <v>185</v>
      </c>
      <c r="C9" s="25" t="s">
        <v>13</v>
      </c>
      <c r="D9" s="25" t="s">
        <v>78</v>
      </c>
      <c r="E9" s="25" t="s">
        <v>197</v>
      </c>
      <c r="F9" s="25">
        <v>2</v>
      </c>
      <c r="G9" s="25" t="s">
        <v>192</v>
      </c>
      <c r="H9" s="25" t="s">
        <v>35</v>
      </c>
      <c r="I9" s="25" t="s">
        <v>198</v>
      </c>
      <c r="J9" s="25" t="s">
        <v>199</v>
      </c>
      <c r="K9" s="25" t="s">
        <v>195</v>
      </c>
      <c r="L9" s="25" t="s">
        <v>200</v>
      </c>
    </row>
    <row r="10" spans="1:12" ht="58" x14ac:dyDescent="0.35">
      <c r="A10" s="25">
        <v>6</v>
      </c>
      <c r="B10" s="25" t="s">
        <v>201</v>
      </c>
      <c r="C10" s="25" t="s">
        <v>10</v>
      </c>
      <c r="D10" s="25" t="s">
        <v>25</v>
      </c>
      <c r="E10" s="25" t="s">
        <v>202</v>
      </c>
      <c r="F10" s="25">
        <v>2</v>
      </c>
      <c r="G10" s="25" t="s">
        <v>192</v>
      </c>
      <c r="H10" s="25" t="s">
        <v>35</v>
      </c>
      <c r="I10" s="25" t="s">
        <v>203</v>
      </c>
      <c r="J10" s="25" t="s">
        <v>204</v>
      </c>
      <c r="K10" s="25" t="s">
        <v>195</v>
      </c>
      <c r="L10" s="25" t="s">
        <v>205</v>
      </c>
    </row>
    <row r="11" spans="1:12" ht="58" x14ac:dyDescent="0.35">
      <c r="A11" s="25">
        <v>7</v>
      </c>
      <c r="B11" s="25" t="s">
        <v>206</v>
      </c>
      <c r="C11" s="25" t="s">
        <v>28</v>
      </c>
      <c r="D11" s="25" t="s">
        <v>27</v>
      </c>
      <c r="E11" s="25" t="s">
        <v>207</v>
      </c>
      <c r="F11" s="25">
        <v>2</v>
      </c>
      <c r="G11" s="25" t="s">
        <v>192</v>
      </c>
      <c r="H11" s="25" t="s">
        <v>35</v>
      </c>
      <c r="I11" s="25" t="s">
        <v>208</v>
      </c>
      <c r="J11" s="25" t="s">
        <v>194</v>
      </c>
      <c r="K11" s="25" t="s">
        <v>195</v>
      </c>
      <c r="L11" s="25" t="s">
        <v>209</v>
      </c>
    </row>
    <row r="12" spans="1:12" ht="58" x14ac:dyDescent="0.35">
      <c r="A12" s="25">
        <v>8</v>
      </c>
      <c r="B12" s="25" t="s">
        <v>210</v>
      </c>
      <c r="C12" s="25" t="s">
        <v>27</v>
      </c>
      <c r="D12" s="25" t="s">
        <v>28</v>
      </c>
      <c r="E12" s="25" t="s">
        <v>211</v>
      </c>
      <c r="F12" s="25">
        <v>2</v>
      </c>
      <c r="G12" s="25" t="s">
        <v>192</v>
      </c>
      <c r="H12" s="25" t="s">
        <v>35</v>
      </c>
      <c r="I12" s="25" t="s">
        <v>212</v>
      </c>
      <c r="J12" s="25" t="s">
        <v>213</v>
      </c>
      <c r="K12" s="25" t="s">
        <v>195</v>
      </c>
      <c r="L12" s="25" t="s">
        <v>214</v>
      </c>
    </row>
    <row r="13" spans="1:12" ht="72.5" x14ac:dyDescent="0.35">
      <c r="A13" s="25">
        <v>9</v>
      </c>
      <c r="B13" s="25" t="s">
        <v>215</v>
      </c>
      <c r="C13" s="25" t="s">
        <v>16</v>
      </c>
      <c r="D13" s="25" t="s">
        <v>88</v>
      </c>
      <c r="E13" s="25" t="s">
        <v>216</v>
      </c>
      <c r="F13" s="25">
        <v>2</v>
      </c>
      <c r="G13" s="25" t="s">
        <v>192</v>
      </c>
      <c r="H13" s="25" t="s">
        <v>35</v>
      </c>
      <c r="I13" s="25" t="s">
        <v>217</v>
      </c>
      <c r="J13" s="25" t="s">
        <v>204</v>
      </c>
      <c r="K13" s="25" t="s">
        <v>195</v>
      </c>
      <c r="L13" s="25" t="s">
        <v>218</v>
      </c>
    </row>
    <row r="14" spans="1:12" ht="58" x14ac:dyDescent="0.35">
      <c r="A14" s="25">
        <v>10</v>
      </c>
      <c r="B14" s="25" t="s">
        <v>215</v>
      </c>
      <c r="C14" s="25" t="s">
        <v>7</v>
      </c>
      <c r="D14" s="25" t="s">
        <v>88</v>
      </c>
      <c r="E14" s="25" t="s">
        <v>202</v>
      </c>
      <c r="F14" s="25">
        <v>2</v>
      </c>
      <c r="G14" s="25" t="s">
        <v>219</v>
      </c>
      <c r="H14" s="25" t="s">
        <v>35</v>
      </c>
      <c r="I14" s="25" t="s">
        <v>220</v>
      </c>
      <c r="J14" s="25" t="s">
        <v>221</v>
      </c>
      <c r="K14" s="25" t="s">
        <v>222</v>
      </c>
      <c r="L14" s="25" t="s">
        <v>223</v>
      </c>
    </row>
    <row r="15" spans="1:12" ht="116" x14ac:dyDescent="0.35">
      <c r="A15" s="25">
        <v>11</v>
      </c>
      <c r="B15" s="25" t="s">
        <v>224</v>
      </c>
      <c r="C15" s="25" t="s">
        <v>10</v>
      </c>
      <c r="D15" s="25" t="s">
        <v>16</v>
      </c>
      <c r="E15" s="25" t="s">
        <v>197</v>
      </c>
      <c r="F15" s="25">
        <v>2</v>
      </c>
      <c r="G15" s="25" t="s">
        <v>225</v>
      </c>
      <c r="H15" s="26" t="s">
        <v>34</v>
      </c>
      <c r="I15" s="25" t="s">
        <v>226</v>
      </c>
      <c r="J15" s="25" t="s">
        <v>227</v>
      </c>
      <c r="K15" s="25" t="s">
        <v>228</v>
      </c>
      <c r="L15" s="25" t="s">
        <v>229</v>
      </c>
    </row>
    <row r="16" spans="1:12" ht="72.5" x14ac:dyDescent="0.35">
      <c r="A16" s="25">
        <v>12</v>
      </c>
      <c r="B16" s="25" t="s">
        <v>230</v>
      </c>
      <c r="C16" s="25" t="s">
        <v>12</v>
      </c>
      <c r="D16" s="25" t="s">
        <v>7</v>
      </c>
      <c r="E16" s="25" t="s">
        <v>231</v>
      </c>
      <c r="F16" s="25">
        <v>1</v>
      </c>
      <c r="G16" s="25" t="s">
        <v>232</v>
      </c>
      <c r="H16" s="26" t="s">
        <v>233</v>
      </c>
      <c r="I16" s="25" t="s">
        <v>234</v>
      </c>
      <c r="J16" s="25" t="s">
        <v>235</v>
      </c>
      <c r="K16" s="25" t="s">
        <v>236</v>
      </c>
      <c r="L16" s="25" t="s">
        <v>237</v>
      </c>
    </row>
    <row r="17" spans="1:12" ht="72.5" x14ac:dyDescent="0.35">
      <c r="A17" s="25">
        <v>13</v>
      </c>
      <c r="B17" s="25" t="s">
        <v>230</v>
      </c>
      <c r="C17" s="25" t="s">
        <v>16</v>
      </c>
      <c r="D17" s="25" t="s">
        <v>7</v>
      </c>
      <c r="E17" s="25" t="s">
        <v>238</v>
      </c>
      <c r="F17" s="25">
        <v>1</v>
      </c>
      <c r="G17" s="25" t="s">
        <v>239</v>
      </c>
      <c r="H17" s="25" t="s">
        <v>35</v>
      </c>
      <c r="I17" s="25" t="s">
        <v>240</v>
      </c>
      <c r="J17" s="25" t="s">
        <v>235</v>
      </c>
      <c r="K17" s="25" t="s">
        <v>241</v>
      </c>
      <c r="L17" s="25" t="s">
        <v>242</v>
      </c>
    </row>
    <row r="18" spans="1:12" ht="72.5" x14ac:dyDescent="0.35">
      <c r="A18" s="25">
        <v>14</v>
      </c>
      <c r="B18" s="25" t="s">
        <v>230</v>
      </c>
      <c r="C18" s="25" t="s">
        <v>8</v>
      </c>
      <c r="D18" s="25" t="s">
        <v>7</v>
      </c>
      <c r="E18" s="25" t="s">
        <v>243</v>
      </c>
      <c r="F18" s="25">
        <v>1</v>
      </c>
      <c r="G18" s="25" t="s">
        <v>244</v>
      </c>
      <c r="H18" s="25" t="s">
        <v>35</v>
      </c>
      <c r="I18" s="25" t="s">
        <v>245</v>
      </c>
      <c r="J18" s="25" t="s">
        <v>246</v>
      </c>
      <c r="K18" s="25" t="s">
        <v>247</v>
      </c>
      <c r="L18" s="25" t="s">
        <v>248</v>
      </c>
    </row>
    <row r="19" spans="1:12" ht="58" x14ac:dyDescent="0.35">
      <c r="A19" s="25">
        <v>15</v>
      </c>
      <c r="B19" s="25" t="s">
        <v>230</v>
      </c>
      <c r="C19" s="25" t="s">
        <v>10</v>
      </c>
      <c r="D19" s="25" t="s">
        <v>7</v>
      </c>
      <c r="E19" s="25" t="s">
        <v>249</v>
      </c>
      <c r="F19" s="25">
        <v>1</v>
      </c>
      <c r="G19" s="25" t="s">
        <v>250</v>
      </c>
      <c r="H19" s="25" t="s">
        <v>35</v>
      </c>
      <c r="I19" s="25" t="s">
        <v>251</v>
      </c>
      <c r="J19" s="25" t="s">
        <v>252</v>
      </c>
      <c r="K19" s="25" t="s">
        <v>253</v>
      </c>
      <c r="L19" s="25" t="s">
        <v>254</v>
      </c>
    </row>
    <row r="20" spans="1:12" ht="72.5" x14ac:dyDescent="0.35">
      <c r="A20" s="25">
        <v>16</v>
      </c>
      <c r="B20" s="25" t="s">
        <v>255</v>
      </c>
      <c r="C20" s="25" t="s">
        <v>6</v>
      </c>
      <c r="D20" s="25" t="s">
        <v>11</v>
      </c>
      <c r="E20" s="25" t="s">
        <v>256</v>
      </c>
      <c r="F20" s="25">
        <v>1</v>
      </c>
      <c r="G20" s="25" t="s">
        <v>232</v>
      </c>
      <c r="H20" s="26" t="s">
        <v>233</v>
      </c>
      <c r="I20" s="25" t="s">
        <v>257</v>
      </c>
      <c r="J20" s="25" t="s">
        <v>258</v>
      </c>
      <c r="K20" s="25" t="s">
        <v>236</v>
      </c>
      <c r="L20" s="25" t="s">
        <v>259</v>
      </c>
    </row>
    <row r="21" spans="1:12" ht="58" x14ac:dyDescent="0.35">
      <c r="A21" s="25">
        <v>17</v>
      </c>
      <c r="B21" s="25" t="s">
        <v>260</v>
      </c>
      <c r="C21" s="25" t="s">
        <v>7</v>
      </c>
      <c r="D21" s="25" t="s">
        <v>12</v>
      </c>
      <c r="E21" s="25" t="s">
        <v>261</v>
      </c>
      <c r="F21" s="25">
        <v>1</v>
      </c>
      <c r="G21" s="25" t="s">
        <v>232</v>
      </c>
      <c r="H21" s="26" t="s">
        <v>233</v>
      </c>
      <c r="I21" s="25" t="s">
        <v>262</v>
      </c>
      <c r="J21" s="25" t="s">
        <v>263</v>
      </c>
      <c r="K21" s="25" t="s">
        <v>236</v>
      </c>
      <c r="L21" s="25" t="s">
        <v>264</v>
      </c>
    </row>
    <row r="22" spans="1:12" ht="72.5" x14ac:dyDescent="0.35">
      <c r="A22" s="25">
        <v>18</v>
      </c>
      <c r="B22" s="25" t="s">
        <v>170</v>
      </c>
      <c r="C22" s="25" t="s">
        <v>13</v>
      </c>
      <c r="D22" s="25" t="s">
        <v>10</v>
      </c>
      <c r="E22" s="25" t="s">
        <v>261</v>
      </c>
      <c r="F22" s="25">
        <v>1</v>
      </c>
      <c r="G22" s="25" t="s">
        <v>244</v>
      </c>
      <c r="H22" s="25" t="s">
        <v>35</v>
      </c>
      <c r="I22" s="25" t="s">
        <v>265</v>
      </c>
      <c r="J22" s="25" t="s">
        <v>266</v>
      </c>
      <c r="K22" s="25" t="s">
        <v>247</v>
      </c>
      <c r="L22" s="25" t="s">
        <v>267</v>
      </c>
    </row>
    <row r="23" spans="1:12" ht="72.5" x14ac:dyDescent="0.35">
      <c r="A23" s="25">
        <v>19</v>
      </c>
      <c r="B23" s="25" t="s">
        <v>268</v>
      </c>
      <c r="C23" s="25" t="s">
        <v>13</v>
      </c>
      <c r="D23" s="25" t="s">
        <v>269</v>
      </c>
      <c r="E23" s="25" t="s">
        <v>270</v>
      </c>
      <c r="F23" s="25">
        <v>1</v>
      </c>
      <c r="G23" s="25" t="s">
        <v>244</v>
      </c>
      <c r="H23" s="25" t="s">
        <v>35</v>
      </c>
      <c r="I23" s="25" t="s">
        <v>271</v>
      </c>
      <c r="J23" s="25" t="s">
        <v>235</v>
      </c>
      <c r="K23" s="25" t="s">
        <v>247</v>
      </c>
      <c r="L23" s="25" t="s">
        <v>272</v>
      </c>
    </row>
    <row r="24" spans="1:12" ht="72.5" x14ac:dyDescent="0.35">
      <c r="A24" s="25">
        <v>20</v>
      </c>
      <c r="B24" s="25" t="s">
        <v>273</v>
      </c>
      <c r="C24" s="25" t="s">
        <v>7</v>
      </c>
      <c r="D24" s="25" t="s">
        <v>15</v>
      </c>
      <c r="E24" s="25" t="s">
        <v>274</v>
      </c>
      <c r="F24" s="25">
        <v>1</v>
      </c>
      <c r="G24" s="25" t="s">
        <v>275</v>
      </c>
      <c r="H24" s="25" t="s">
        <v>35</v>
      </c>
      <c r="I24" s="25" t="s">
        <v>276</v>
      </c>
      <c r="J24" s="25" t="s">
        <v>277</v>
      </c>
      <c r="K24" s="25" t="s">
        <v>278</v>
      </c>
      <c r="L24" s="25" t="s">
        <v>279</v>
      </c>
    </row>
    <row r="25" spans="1:12" ht="58" x14ac:dyDescent="0.35">
      <c r="A25" s="25">
        <v>21</v>
      </c>
      <c r="B25" s="25" t="s">
        <v>273</v>
      </c>
      <c r="C25" s="25" t="s">
        <v>280</v>
      </c>
      <c r="D25" s="25" t="s">
        <v>15</v>
      </c>
      <c r="E25" s="25" t="s">
        <v>281</v>
      </c>
      <c r="F25" s="25">
        <v>1</v>
      </c>
      <c r="G25" s="25" t="s">
        <v>282</v>
      </c>
      <c r="H25" s="25" t="s">
        <v>35</v>
      </c>
      <c r="I25" s="25" t="s">
        <v>283</v>
      </c>
      <c r="J25" s="25" t="s">
        <v>194</v>
      </c>
      <c r="K25" s="25" t="s">
        <v>222</v>
      </c>
      <c r="L25" s="25" t="s">
        <v>284</v>
      </c>
    </row>
    <row r="26" spans="1:12" ht="58" x14ac:dyDescent="0.35">
      <c r="A26" s="25">
        <v>22</v>
      </c>
      <c r="B26" s="25" t="s">
        <v>285</v>
      </c>
      <c r="C26" s="25" t="s">
        <v>21</v>
      </c>
      <c r="D26" s="25" t="s">
        <v>65</v>
      </c>
      <c r="E26" s="25" t="s">
        <v>286</v>
      </c>
      <c r="F26" s="25">
        <v>1</v>
      </c>
      <c r="G26" s="25" t="s">
        <v>287</v>
      </c>
      <c r="H26" s="25" t="s">
        <v>35</v>
      </c>
      <c r="I26" s="25" t="s">
        <v>288</v>
      </c>
      <c r="J26" s="25" t="s">
        <v>289</v>
      </c>
      <c r="K26" s="25" t="s">
        <v>290</v>
      </c>
      <c r="L26" s="25" t="s">
        <v>291</v>
      </c>
    </row>
    <row r="27" spans="1:12" ht="58" x14ac:dyDescent="0.35">
      <c r="A27" s="25">
        <v>23</v>
      </c>
      <c r="B27" s="25" t="s">
        <v>292</v>
      </c>
      <c r="C27" s="25" t="s">
        <v>18</v>
      </c>
      <c r="D27" s="25" t="s">
        <v>19</v>
      </c>
      <c r="E27" s="25" t="s">
        <v>293</v>
      </c>
      <c r="F27" s="25">
        <v>1</v>
      </c>
      <c r="G27" s="25" t="s">
        <v>275</v>
      </c>
      <c r="H27" s="25" t="s">
        <v>35</v>
      </c>
      <c r="I27" s="25" t="s">
        <v>294</v>
      </c>
      <c r="J27" s="25" t="s">
        <v>295</v>
      </c>
      <c r="K27" s="25" t="s">
        <v>278</v>
      </c>
      <c r="L27" s="25" t="s">
        <v>296</v>
      </c>
    </row>
    <row r="28" spans="1:12" ht="43.5" x14ac:dyDescent="0.35">
      <c r="A28" s="25">
        <v>24</v>
      </c>
      <c r="B28" s="25" t="s">
        <v>190</v>
      </c>
      <c r="C28" s="25" t="s">
        <v>26</v>
      </c>
      <c r="D28" s="25" t="s">
        <v>21</v>
      </c>
      <c r="E28" s="25" t="s">
        <v>211</v>
      </c>
      <c r="F28" s="25">
        <v>1</v>
      </c>
      <c r="G28" s="25" t="s">
        <v>244</v>
      </c>
      <c r="H28" s="25" t="s">
        <v>35</v>
      </c>
      <c r="I28" s="25" t="s">
        <v>297</v>
      </c>
      <c r="J28" s="25" t="s">
        <v>298</v>
      </c>
      <c r="K28" s="25" t="s">
        <v>247</v>
      </c>
      <c r="L28" s="25" t="s">
        <v>299</v>
      </c>
    </row>
    <row r="29" spans="1:12" ht="43.5" x14ac:dyDescent="0.35">
      <c r="A29" s="25">
        <v>25</v>
      </c>
      <c r="B29" s="25" t="s">
        <v>300</v>
      </c>
      <c r="C29" s="25" t="s">
        <v>26</v>
      </c>
      <c r="D29" s="25" t="s">
        <v>23</v>
      </c>
      <c r="E29" s="25" t="s">
        <v>152</v>
      </c>
      <c r="F29" s="25">
        <v>1</v>
      </c>
      <c r="G29" s="25" t="s">
        <v>301</v>
      </c>
      <c r="H29" s="25" t="s">
        <v>35</v>
      </c>
      <c r="I29" s="25" t="s">
        <v>302</v>
      </c>
      <c r="J29" s="25" t="s">
        <v>303</v>
      </c>
      <c r="K29" s="25" t="s">
        <v>304</v>
      </c>
      <c r="L29" s="25" t="s">
        <v>305</v>
      </c>
    </row>
    <row r="30" spans="1:12" ht="43.5" x14ac:dyDescent="0.35">
      <c r="A30" s="25">
        <v>26</v>
      </c>
      <c r="B30" s="25" t="s">
        <v>201</v>
      </c>
      <c r="C30" s="25" t="s">
        <v>27</v>
      </c>
      <c r="D30" s="25" t="s">
        <v>25</v>
      </c>
      <c r="E30" s="25" t="s">
        <v>211</v>
      </c>
      <c r="F30" s="25">
        <v>1</v>
      </c>
      <c r="G30" s="25" t="s">
        <v>232</v>
      </c>
      <c r="H30" s="26" t="s">
        <v>233</v>
      </c>
      <c r="I30" s="25" t="s">
        <v>306</v>
      </c>
      <c r="J30" s="25" t="s">
        <v>298</v>
      </c>
      <c r="K30" s="25" t="s">
        <v>236</v>
      </c>
      <c r="L30" s="25" t="s">
        <v>307</v>
      </c>
    </row>
    <row r="31" spans="1:12" ht="72.5" x14ac:dyDescent="0.35">
      <c r="A31" s="25">
        <v>27</v>
      </c>
      <c r="B31" s="25" t="s">
        <v>308</v>
      </c>
      <c r="C31" s="25" t="s">
        <v>25</v>
      </c>
      <c r="D31" s="25" t="s">
        <v>82</v>
      </c>
      <c r="E31" s="25" t="s">
        <v>309</v>
      </c>
      <c r="F31" s="25">
        <v>1</v>
      </c>
      <c r="G31" s="25" t="s">
        <v>287</v>
      </c>
      <c r="H31" s="25" t="s">
        <v>35</v>
      </c>
      <c r="I31" s="25" t="s">
        <v>310</v>
      </c>
      <c r="J31" s="25" t="s">
        <v>311</v>
      </c>
      <c r="K31" s="25" t="s">
        <v>290</v>
      </c>
      <c r="L31" s="25" t="s">
        <v>312</v>
      </c>
    </row>
    <row r="32" spans="1:12" ht="58" x14ac:dyDescent="0.35">
      <c r="A32" s="25">
        <v>28</v>
      </c>
      <c r="B32" s="25" t="s">
        <v>206</v>
      </c>
      <c r="C32" s="25" t="s">
        <v>25</v>
      </c>
      <c r="D32" s="25" t="s">
        <v>27</v>
      </c>
      <c r="E32" s="25" t="s">
        <v>313</v>
      </c>
      <c r="F32" s="25">
        <v>1</v>
      </c>
      <c r="G32" s="25" t="s">
        <v>232</v>
      </c>
      <c r="H32" s="26" t="s">
        <v>233</v>
      </c>
      <c r="I32" s="25" t="s">
        <v>310</v>
      </c>
      <c r="J32" s="25" t="s">
        <v>314</v>
      </c>
      <c r="K32" s="25" t="s">
        <v>236</v>
      </c>
      <c r="L32" s="25" t="s">
        <v>315</v>
      </c>
    </row>
    <row r="33" spans="1:12" ht="43.5" x14ac:dyDescent="0.35">
      <c r="A33" s="25">
        <v>29</v>
      </c>
      <c r="B33" s="25" t="s">
        <v>210</v>
      </c>
      <c r="C33" s="25" t="s">
        <v>23</v>
      </c>
      <c r="D33" s="25" t="s">
        <v>28</v>
      </c>
      <c r="E33" s="25" t="s">
        <v>316</v>
      </c>
      <c r="F33" s="25">
        <v>1</v>
      </c>
      <c r="G33" s="25" t="s">
        <v>244</v>
      </c>
      <c r="H33" s="25" t="s">
        <v>35</v>
      </c>
      <c r="I33" s="25" t="s">
        <v>317</v>
      </c>
      <c r="J33" s="25" t="s">
        <v>318</v>
      </c>
      <c r="K33" s="25" t="s">
        <v>247</v>
      </c>
      <c r="L33" s="25" t="s">
        <v>319</v>
      </c>
    </row>
    <row r="34" spans="1:12" ht="58" x14ac:dyDescent="0.35">
      <c r="A34" s="25">
        <v>30</v>
      </c>
      <c r="B34" s="25" t="s">
        <v>320</v>
      </c>
      <c r="C34" s="25" t="s">
        <v>31</v>
      </c>
      <c r="D34" s="25" t="s">
        <v>29</v>
      </c>
      <c r="E34" s="25" t="s">
        <v>321</v>
      </c>
      <c r="F34" s="25">
        <v>1</v>
      </c>
      <c r="G34" s="25" t="s">
        <v>322</v>
      </c>
      <c r="H34" s="25" t="s">
        <v>35</v>
      </c>
      <c r="I34" s="25" t="s">
        <v>323</v>
      </c>
      <c r="J34" s="25" t="s">
        <v>289</v>
      </c>
      <c r="K34" s="25" t="s">
        <v>324</v>
      </c>
      <c r="L34" s="25" t="s">
        <v>325</v>
      </c>
    </row>
    <row r="35" spans="1:12" ht="43.5" x14ac:dyDescent="0.35">
      <c r="A35" s="25">
        <v>31</v>
      </c>
      <c r="B35" s="25" t="s">
        <v>326</v>
      </c>
      <c r="C35" s="25" t="s">
        <v>327</v>
      </c>
      <c r="D35" s="25" t="s">
        <v>30</v>
      </c>
      <c r="E35" s="25" t="s">
        <v>274</v>
      </c>
      <c r="F35" s="25">
        <v>1</v>
      </c>
      <c r="G35" s="25" t="s">
        <v>328</v>
      </c>
      <c r="H35" s="25" t="s">
        <v>35</v>
      </c>
      <c r="I35" s="25" t="s">
        <v>283</v>
      </c>
      <c r="J35" s="25" t="s">
        <v>252</v>
      </c>
      <c r="K35" s="25" t="s">
        <v>329</v>
      </c>
      <c r="L35" s="25" t="s">
        <v>330</v>
      </c>
    </row>
    <row r="36" spans="1:12" ht="43.5" x14ac:dyDescent="0.35">
      <c r="A36" s="25">
        <v>32</v>
      </c>
      <c r="B36" s="25" t="s">
        <v>331</v>
      </c>
      <c r="C36" s="25" t="s">
        <v>32</v>
      </c>
      <c r="D36" s="25" t="s">
        <v>31</v>
      </c>
      <c r="E36" s="25" t="s">
        <v>332</v>
      </c>
      <c r="F36" s="25">
        <v>1</v>
      </c>
      <c r="G36" s="25" t="s">
        <v>333</v>
      </c>
      <c r="H36" s="25" t="s">
        <v>35</v>
      </c>
      <c r="I36" s="25" t="s">
        <v>334</v>
      </c>
      <c r="J36" s="25" t="s">
        <v>335</v>
      </c>
      <c r="K36" s="25" t="s">
        <v>336</v>
      </c>
      <c r="L36" s="25" t="s">
        <v>337</v>
      </c>
    </row>
    <row r="37" spans="1:12" ht="72.5" x14ac:dyDescent="0.35">
      <c r="A37" s="25">
        <v>33</v>
      </c>
      <c r="B37" s="25" t="s">
        <v>338</v>
      </c>
      <c r="C37" s="25" t="s">
        <v>27</v>
      </c>
      <c r="D37" s="25" t="s">
        <v>9</v>
      </c>
      <c r="E37" s="25" t="s">
        <v>339</v>
      </c>
      <c r="F37" s="25">
        <v>1</v>
      </c>
      <c r="G37" s="25" t="s">
        <v>39</v>
      </c>
      <c r="H37" s="25" t="s">
        <v>35</v>
      </c>
      <c r="I37" s="25" t="s">
        <v>340</v>
      </c>
      <c r="J37" s="25" t="s">
        <v>341</v>
      </c>
      <c r="K37" s="25" t="s">
        <v>342</v>
      </c>
      <c r="L37" s="25" t="s">
        <v>343</v>
      </c>
    </row>
    <row r="38" spans="1:12" ht="29" x14ac:dyDescent="0.35">
      <c r="A38" s="25">
        <v>35</v>
      </c>
      <c r="B38" s="25" t="s">
        <v>185</v>
      </c>
      <c r="C38" s="25" t="s">
        <v>10</v>
      </c>
      <c r="D38" s="25" t="s">
        <v>78</v>
      </c>
      <c r="E38" s="25" t="s">
        <v>379</v>
      </c>
      <c r="F38" s="25">
        <v>1</v>
      </c>
      <c r="G38" s="25" t="s">
        <v>380</v>
      </c>
      <c r="H38" s="26" t="s">
        <v>344</v>
      </c>
      <c r="I38" s="25" t="s">
        <v>187</v>
      </c>
      <c r="J38" s="25" t="s">
        <v>381</v>
      </c>
      <c r="K38" s="25" t="s">
        <v>228</v>
      </c>
      <c r="L38" s="25" t="s">
        <v>382</v>
      </c>
    </row>
    <row r="39" spans="1:12" ht="145" x14ac:dyDescent="0.35">
      <c r="A39" s="28">
        <v>35</v>
      </c>
      <c r="B39" s="28" t="s">
        <v>345</v>
      </c>
      <c r="C39" s="28" t="s">
        <v>346</v>
      </c>
      <c r="D39" s="28" t="s">
        <v>6</v>
      </c>
      <c r="E39" s="28" t="s">
        <v>347</v>
      </c>
      <c r="F39" s="28">
        <v>0</v>
      </c>
      <c r="G39" s="28" t="s">
        <v>348</v>
      </c>
      <c r="H39" s="28" t="s">
        <v>35</v>
      </c>
      <c r="I39" s="28" t="s">
        <v>349</v>
      </c>
      <c r="J39" s="28" t="s">
        <v>350</v>
      </c>
      <c r="K39" s="28" t="s">
        <v>349</v>
      </c>
      <c r="L39" s="28" t="s">
        <v>351</v>
      </c>
    </row>
    <row r="40" spans="1:12" ht="87" x14ac:dyDescent="0.35">
      <c r="A40" s="27">
        <v>36</v>
      </c>
      <c r="B40" s="27" t="s">
        <v>352</v>
      </c>
      <c r="C40" s="27" t="s">
        <v>353</v>
      </c>
      <c r="D40" s="27" t="s">
        <v>353</v>
      </c>
      <c r="E40" s="27" t="s">
        <v>354</v>
      </c>
      <c r="F40" s="27">
        <v>0</v>
      </c>
      <c r="G40" s="27" t="s">
        <v>355</v>
      </c>
      <c r="H40" s="27" t="s">
        <v>349</v>
      </c>
      <c r="I40" s="27" t="s">
        <v>356</v>
      </c>
      <c r="J40" s="27" t="s">
        <v>357</v>
      </c>
      <c r="K40" s="27" t="s">
        <v>358</v>
      </c>
      <c r="L40" s="27" t="s">
        <v>359</v>
      </c>
    </row>
    <row r="41" spans="1:12" ht="87" x14ac:dyDescent="0.35">
      <c r="A41" s="27">
        <v>37</v>
      </c>
      <c r="B41" s="27" t="s">
        <v>360</v>
      </c>
      <c r="C41" s="27" t="s">
        <v>353</v>
      </c>
      <c r="D41" s="27" t="s">
        <v>353</v>
      </c>
      <c r="E41" s="27" t="s">
        <v>361</v>
      </c>
      <c r="F41" s="27">
        <v>0</v>
      </c>
      <c r="G41" s="27" t="s">
        <v>355</v>
      </c>
      <c r="H41" s="27" t="s">
        <v>349</v>
      </c>
      <c r="I41" s="27" t="s">
        <v>356</v>
      </c>
      <c r="J41" s="27" t="s">
        <v>357</v>
      </c>
      <c r="K41" s="27" t="s">
        <v>358</v>
      </c>
      <c r="L41" s="27" t="s">
        <v>359</v>
      </c>
    </row>
    <row r="42" spans="1:12" ht="87" x14ac:dyDescent="0.35">
      <c r="A42" s="27">
        <v>38</v>
      </c>
      <c r="B42" s="27" t="s">
        <v>362</v>
      </c>
      <c r="C42" s="27" t="s">
        <v>353</v>
      </c>
      <c r="D42" s="27" t="s">
        <v>353</v>
      </c>
      <c r="E42" s="27" t="s">
        <v>363</v>
      </c>
      <c r="F42" s="27">
        <v>0</v>
      </c>
      <c r="G42" s="27" t="s">
        <v>355</v>
      </c>
      <c r="H42" s="27" t="s">
        <v>349</v>
      </c>
      <c r="I42" s="27" t="s">
        <v>356</v>
      </c>
      <c r="J42" s="27" t="s">
        <v>357</v>
      </c>
      <c r="K42" s="27" t="s">
        <v>357</v>
      </c>
      <c r="L42" s="27" t="s">
        <v>359</v>
      </c>
    </row>
    <row r="43" spans="1:12" ht="87" x14ac:dyDescent="0.35">
      <c r="A43" s="27">
        <v>39</v>
      </c>
      <c r="B43" s="27" t="s">
        <v>364</v>
      </c>
      <c r="C43" s="27" t="s">
        <v>353</v>
      </c>
      <c r="D43" s="27" t="s">
        <v>353</v>
      </c>
      <c r="E43" s="27" t="s">
        <v>365</v>
      </c>
      <c r="F43" s="27">
        <v>0</v>
      </c>
      <c r="G43" s="27" t="s">
        <v>355</v>
      </c>
      <c r="H43" s="27" t="s">
        <v>349</v>
      </c>
      <c r="I43" s="27" t="s">
        <v>356</v>
      </c>
      <c r="J43" s="27" t="s">
        <v>357</v>
      </c>
      <c r="K43" s="27" t="s">
        <v>357</v>
      </c>
      <c r="L43" s="27" t="s">
        <v>359</v>
      </c>
    </row>
    <row r="44" spans="1:12" ht="87" x14ac:dyDescent="0.35">
      <c r="A44" s="27">
        <v>40</v>
      </c>
      <c r="B44" s="27" t="s">
        <v>366</v>
      </c>
      <c r="C44" s="27" t="s">
        <v>353</v>
      </c>
      <c r="D44" s="27" t="s">
        <v>353</v>
      </c>
      <c r="E44" s="27" t="s">
        <v>367</v>
      </c>
      <c r="F44" s="27">
        <v>0</v>
      </c>
      <c r="G44" s="27" t="s">
        <v>355</v>
      </c>
      <c r="H44" s="27" t="s">
        <v>349</v>
      </c>
      <c r="I44" s="27" t="s">
        <v>356</v>
      </c>
      <c r="J44" s="27" t="s">
        <v>357</v>
      </c>
      <c r="K44" s="27" t="s">
        <v>357</v>
      </c>
      <c r="L44" s="27" t="s">
        <v>359</v>
      </c>
    </row>
    <row r="45" spans="1:12" ht="87" x14ac:dyDescent="0.35">
      <c r="A45" s="27">
        <v>41</v>
      </c>
      <c r="B45" s="27" t="s">
        <v>368</v>
      </c>
      <c r="C45" s="27" t="s">
        <v>353</v>
      </c>
      <c r="D45" s="27" t="s">
        <v>353</v>
      </c>
      <c r="E45" s="27" t="s">
        <v>369</v>
      </c>
      <c r="F45" s="27">
        <v>0</v>
      </c>
      <c r="G45" s="27" t="s">
        <v>355</v>
      </c>
      <c r="H45" s="27" t="s">
        <v>349</v>
      </c>
      <c r="I45" s="27" t="s">
        <v>356</v>
      </c>
      <c r="J45" s="27" t="s">
        <v>357</v>
      </c>
      <c r="K45" s="27" t="s">
        <v>357</v>
      </c>
      <c r="L45" s="27" t="s">
        <v>359</v>
      </c>
    </row>
    <row r="47" spans="1:12" x14ac:dyDescent="0.35">
      <c r="A47" s="30" t="s">
        <v>370</v>
      </c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</row>
    <row r="48" spans="1:12" x14ac:dyDescent="0.35">
      <c r="A48" s="31" t="s">
        <v>371</v>
      </c>
      <c r="B48">
        <f>COUNTA(A5:A45)</f>
        <v>41</v>
      </c>
    </row>
    <row r="49" spans="1:2" x14ac:dyDescent="0.35">
      <c r="A49" s="31" t="s">
        <v>372</v>
      </c>
      <c r="B49">
        <f>COUNTIF(F5:F45,"&gt;0")</f>
        <v>34</v>
      </c>
    </row>
    <row r="50" spans="1:2" x14ac:dyDescent="0.35">
      <c r="A50" s="31" t="s">
        <v>373</v>
      </c>
      <c r="B50">
        <f>COUNTIF(F5:F45,0)-1</f>
        <v>6</v>
      </c>
    </row>
    <row r="51" spans="1:2" x14ac:dyDescent="0.35">
      <c r="A51" s="31" t="s">
        <v>374</v>
      </c>
      <c r="B51">
        <f>COUNTIF(H5:H45,"YES*")</f>
        <v>10</v>
      </c>
    </row>
    <row r="52" spans="1:2" x14ac:dyDescent="0.35">
      <c r="A52" s="31" t="s">
        <v>375</v>
      </c>
      <c r="B52" t="str">
        <f>INDEX(E5:E45,MATCH(MAX(F5:F45),F5:F45,0))</f>
        <v>Sonny Styles (LB, Ohio State)</v>
      </c>
    </row>
    <row r="53" spans="1:2" x14ac:dyDescent="0.35">
      <c r="A53" s="31" t="s">
        <v>376</v>
      </c>
      <c r="B53">
        <f>MAX(F5:F45)</f>
        <v>6</v>
      </c>
    </row>
    <row r="54" spans="1:2" x14ac:dyDescent="0.35">
      <c r="A54" s="31" t="s">
        <v>383</v>
      </c>
      <c r="B54" cm="1">
        <f t="array" ref="B54">SUMPRODUCT((ISNUMBER(SEARCH("Cleveland",C5:C38))+ISNUMBER(SEARCH("Cleveland",D5:D38))&gt;0)*(ISNUMBER(SEARCH("Dallas",C5:C38))+ISNUMBER(SEARCH("Dallas",D5:D38))&gt;0))</f>
        <v>4</v>
      </c>
    </row>
  </sheetData>
  <mergeCells count="3">
    <mergeCell ref="A1:L1"/>
    <mergeCell ref="A2:L2"/>
    <mergeCell ref="A47:L4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68317-EE47-4FA6-B280-9C61F18B44C7}">
  <dimension ref="A1:W48"/>
  <sheetViews>
    <sheetView workbookViewId="0">
      <pane xSplit="2" ySplit="4" topLeftCell="C24" activePane="bottomRight" state="frozen"/>
      <selection pane="topRight" activeCell="C1" sqref="C1"/>
      <selection pane="bottomLeft" activeCell="A5" sqref="A5"/>
      <selection pane="bottomRight" activeCell="A9" sqref="A9"/>
    </sheetView>
  </sheetViews>
  <sheetFormatPr defaultRowHeight="14.5" x14ac:dyDescent="0.35"/>
  <cols>
    <col min="1" max="1" width="7.26953125" customWidth="1"/>
    <col min="2" max="2" width="32.7265625" customWidth="1"/>
    <col min="3" max="22" width="40" customWidth="1"/>
    <col min="23" max="23" width="58.1796875" customWidth="1"/>
  </cols>
  <sheetData>
    <row r="1" spans="1:23" ht="18.5" x14ac:dyDescent="0.45">
      <c r="A1" s="3" t="s">
        <v>384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pans="1:23" x14ac:dyDescent="0.35">
      <c r="A2" s="32" t="s">
        <v>385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4" spans="1:23" ht="50" customHeight="1" x14ac:dyDescent="0.35">
      <c r="A4" s="33" t="s">
        <v>159</v>
      </c>
      <c r="B4" s="33" t="s">
        <v>386</v>
      </c>
      <c r="C4" s="33" t="s">
        <v>132</v>
      </c>
      <c r="D4" s="33" t="s">
        <v>133</v>
      </c>
      <c r="E4" s="33" t="s">
        <v>134</v>
      </c>
      <c r="F4" s="33" t="s">
        <v>135</v>
      </c>
      <c r="G4" s="33" t="s">
        <v>136</v>
      </c>
      <c r="H4" s="33" t="s">
        <v>137</v>
      </c>
      <c r="I4" s="33" t="s">
        <v>138</v>
      </c>
      <c r="J4" s="33" t="s">
        <v>139</v>
      </c>
      <c r="K4" s="33" t="s">
        <v>140</v>
      </c>
      <c r="L4" s="33" t="s">
        <v>141</v>
      </c>
      <c r="M4" s="33" t="s">
        <v>142</v>
      </c>
      <c r="N4" s="33" t="s">
        <v>143</v>
      </c>
      <c r="O4" s="33" t="s">
        <v>144</v>
      </c>
      <c r="P4" s="33" t="s">
        <v>145</v>
      </c>
      <c r="Q4" s="33" t="s">
        <v>146</v>
      </c>
      <c r="R4" s="33" t="s">
        <v>147</v>
      </c>
      <c r="S4" s="33" t="s">
        <v>148</v>
      </c>
      <c r="T4" s="33" t="s">
        <v>387</v>
      </c>
      <c r="U4" s="33" t="s">
        <v>40</v>
      </c>
      <c r="V4" s="33" t="s">
        <v>41</v>
      </c>
      <c r="W4" s="33" t="s">
        <v>388</v>
      </c>
    </row>
    <row r="5" spans="1:23" ht="140" customHeight="1" x14ac:dyDescent="0.35">
      <c r="A5" s="37">
        <v>1</v>
      </c>
      <c r="B5" s="38" t="s">
        <v>389</v>
      </c>
      <c r="C5" s="35" t="s">
        <v>390</v>
      </c>
      <c r="D5" s="35" t="s">
        <v>391</v>
      </c>
      <c r="E5" s="35" t="s">
        <v>392</v>
      </c>
      <c r="F5" s="35" t="s">
        <v>393</v>
      </c>
      <c r="G5" s="35" t="s">
        <v>394</v>
      </c>
      <c r="H5" s="35" t="s">
        <v>395</v>
      </c>
      <c r="I5" s="34" t="s">
        <v>396</v>
      </c>
      <c r="J5" s="34" t="s">
        <v>397</v>
      </c>
      <c r="K5" s="34" t="s">
        <v>398</v>
      </c>
      <c r="L5" s="34" t="s">
        <v>399</v>
      </c>
      <c r="M5" s="34" t="s">
        <v>400</v>
      </c>
      <c r="N5" s="34" t="s">
        <v>401</v>
      </c>
      <c r="O5" s="34" t="s">
        <v>402</v>
      </c>
      <c r="P5" s="34" t="s">
        <v>403</v>
      </c>
      <c r="Q5" s="34" t="s">
        <v>404</v>
      </c>
      <c r="R5" s="34" t="s">
        <v>405</v>
      </c>
      <c r="S5" s="34" t="s">
        <v>406</v>
      </c>
      <c r="T5" s="34" t="s">
        <v>407</v>
      </c>
      <c r="U5" s="34" t="s">
        <v>408</v>
      </c>
      <c r="V5" s="34" t="s">
        <v>409</v>
      </c>
      <c r="W5" s="36" t="s">
        <v>410</v>
      </c>
    </row>
    <row r="6" spans="1:23" ht="140" customHeight="1" x14ac:dyDescent="0.35">
      <c r="A6" s="37">
        <v>2</v>
      </c>
      <c r="B6" s="38" t="s">
        <v>411</v>
      </c>
      <c r="C6" s="35" t="s">
        <v>412</v>
      </c>
      <c r="D6" s="35" t="s">
        <v>413</v>
      </c>
      <c r="E6" s="35" t="s">
        <v>414</v>
      </c>
      <c r="F6" s="35" t="s">
        <v>415</v>
      </c>
      <c r="G6" s="35" t="s">
        <v>416</v>
      </c>
      <c r="H6" s="35" t="s">
        <v>417</v>
      </c>
      <c r="I6" s="34" t="s">
        <v>418</v>
      </c>
      <c r="J6" s="34" t="s">
        <v>419</v>
      </c>
      <c r="K6" s="34" t="s">
        <v>420</v>
      </c>
      <c r="L6" s="34" t="s">
        <v>421</v>
      </c>
      <c r="M6" s="34" t="s">
        <v>422</v>
      </c>
      <c r="N6" s="34" t="s">
        <v>423</v>
      </c>
      <c r="O6" s="34" t="s">
        <v>424</v>
      </c>
      <c r="P6" s="34" t="s">
        <v>425</v>
      </c>
      <c r="Q6" s="34" t="s">
        <v>426</v>
      </c>
      <c r="R6" s="34" t="s">
        <v>427</v>
      </c>
      <c r="S6" s="34" t="s">
        <v>428</v>
      </c>
      <c r="T6" s="34" t="s">
        <v>429</v>
      </c>
      <c r="U6" s="34" t="s">
        <v>430</v>
      </c>
      <c r="V6" s="34" t="s">
        <v>431</v>
      </c>
      <c r="W6" s="36" t="s">
        <v>432</v>
      </c>
    </row>
    <row r="7" spans="1:23" ht="140" customHeight="1" x14ac:dyDescent="0.35">
      <c r="A7" s="37">
        <v>3</v>
      </c>
      <c r="B7" s="38" t="s">
        <v>433</v>
      </c>
      <c r="C7" s="35" t="s">
        <v>434</v>
      </c>
      <c r="D7" s="35" t="s">
        <v>435</v>
      </c>
      <c r="E7" s="35" t="s">
        <v>436</v>
      </c>
      <c r="F7" s="35" t="s">
        <v>437</v>
      </c>
      <c r="G7" s="35" t="s">
        <v>438</v>
      </c>
      <c r="H7" s="35" t="s">
        <v>439</v>
      </c>
      <c r="I7" s="34" t="s">
        <v>440</v>
      </c>
      <c r="J7" s="34" t="s">
        <v>441</v>
      </c>
      <c r="K7" s="34" t="s">
        <v>442</v>
      </c>
      <c r="L7" s="34" t="s">
        <v>443</v>
      </c>
      <c r="M7" s="34" t="s">
        <v>444</v>
      </c>
      <c r="N7" s="34" t="s">
        <v>445</v>
      </c>
      <c r="O7" s="34" t="s">
        <v>446</v>
      </c>
      <c r="P7" s="34" t="s">
        <v>447</v>
      </c>
      <c r="Q7" s="34" t="s">
        <v>448</v>
      </c>
      <c r="R7" s="34" t="s">
        <v>449</v>
      </c>
      <c r="S7" s="34" t="s">
        <v>450</v>
      </c>
      <c r="T7" s="34" t="s">
        <v>451</v>
      </c>
      <c r="U7" s="34" t="s">
        <v>452</v>
      </c>
      <c r="V7" s="34" t="s">
        <v>453</v>
      </c>
      <c r="W7" s="36" t="s">
        <v>454</v>
      </c>
    </row>
    <row r="8" spans="1:23" ht="140" customHeight="1" x14ac:dyDescent="0.35">
      <c r="A8" s="37">
        <v>4</v>
      </c>
      <c r="B8" s="38" t="s">
        <v>455</v>
      </c>
      <c r="C8" s="35" t="s">
        <v>456</v>
      </c>
      <c r="D8" s="35" t="s">
        <v>457</v>
      </c>
      <c r="E8" s="35" t="s">
        <v>458</v>
      </c>
      <c r="F8" s="35" t="s">
        <v>459</v>
      </c>
      <c r="G8" s="35" t="s">
        <v>460</v>
      </c>
      <c r="H8" s="35" t="s">
        <v>461</v>
      </c>
      <c r="I8" s="34" t="s">
        <v>462</v>
      </c>
      <c r="J8" s="34" t="s">
        <v>441</v>
      </c>
      <c r="K8" s="34" t="s">
        <v>463</v>
      </c>
      <c r="L8" s="34" t="s">
        <v>464</v>
      </c>
      <c r="M8" s="34" t="s">
        <v>465</v>
      </c>
      <c r="N8" s="34" t="s">
        <v>466</v>
      </c>
      <c r="O8" s="34" t="s">
        <v>467</v>
      </c>
      <c r="P8" s="34" t="s">
        <v>447</v>
      </c>
      <c r="Q8" s="34" t="s">
        <v>468</v>
      </c>
      <c r="R8" s="34" t="s">
        <v>469</v>
      </c>
      <c r="S8" s="34" t="s">
        <v>470</v>
      </c>
      <c r="T8" s="34" t="s">
        <v>471</v>
      </c>
      <c r="U8" s="34" t="s">
        <v>472</v>
      </c>
      <c r="V8" s="34" t="s">
        <v>473</v>
      </c>
      <c r="W8" s="36" t="s">
        <v>474</v>
      </c>
    </row>
    <row r="9" spans="1:23" ht="140" customHeight="1" x14ac:dyDescent="0.35">
      <c r="A9" s="37">
        <v>5</v>
      </c>
      <c r="B9" s="38" t="s">
        <v>475</v>
      </c>
      <c r="C9" s="35" t="s">
        <v>476</v>
      </c>
      <c r="D9" s="35" t="s">
        <v>457</v>
      </c>
      <c r="E9" s="35" t="s">
        <v>477</v>
      </c>
      <c r="F9" s="35" t="s">
        <v>478</v>
      </c>
      <c r="G9" s="35" t="s">
        <v>479</v>
      </c>
      <c r="H9" s="35" t="s">
        <v>480</v>
      </c>
      <c r="I9" s="34" t="s">
        <v>481</v>
      </c>
      <c r="J9" s="34" t="s">
        <v>482</v>
      </c>
      <c r="K9" s="34" t="s">
        <v>483</v>
      </c>
      <c r="L9" s="34" t="s">
        <v>484</v>
      </c>
      <c r="M9" s="34" t="s">
        <v>485</v>
      </c>
      <c r="N9" s="34" t="s">
        <v>486</v>
      </c>
      <c r="O9" s="34" t="s">
        <v>487</v>
      </c>
      <c r="P9" s="34" t="s">
        <v>447</v>
      </c>
      <c r="Q9" s="34" t="s">
        <v>488</v>
      </c>
      <c r="R9" s="34" t="s">
        <v>489</v>
      </c>
      <c r="S9" s="34" t="s">
        <v>490</v>
      </c>
      <c r="T9" s="34" t="s">
        <v>491</v>
      </c>
      <c r="U9" s="34" t="s">
        <v>492</v>
      </c>
      <c r="V9" s="34" t="s">
        <v>493</v>
      </c>
      <c r="W9" s="36" t="s">
        <v>494</v>
      </c>
    </row>
    <row r="10" spans="1:23" ht="140" customHeight="1" x14ac:dyDescent="0.35">
      <c r="A10" s="37">
        <v>6</v>
      </c>
      <c r="B10" s="38" t="s">
        <v>495</v>
      </c>
      <c r="C10" s="35" t="s">
        <v>496</v>
      </c>
      <c r="D10" s="35" t="s">
        <v>497</v>
      </c>
      <c r="E10" s="35" t="s">
        <v>498</v>
      </c>
      <c r="F10" s="35" t="s">
        <v>499</v>
      </c>
      <c r="G10" s="35" t="s">
        <v>500</v>
      </c>
      <c r="H10" s="35" t="s">
        <v>501</v>
      </c>
      <c r="I10" s="34" t="s">
        <v>502</v>
      </c>
      <c r="J10" s="34" t="s">
        <v>503</v>
      </c>
      <c r="K10" s="34" t="s">
        <v>504</v>
      </c>
      <c r="L10" s="34" t="s">
        <v>505</v>
      </c>
      <c r="M10" s="34" t="s">
        <v>506</v>
      </c>
      <c r="N10" s="34" t="s">
        <v>507</v>
      </c>
      <c r="O10" s="34" t="s">
        <v>508</v>
      </c>
      <c r="P10" s="34" t="s">
        <v>447</v>
      </c>
      <c r="Q10" s="34" t="s">
        <v>509</v>
      </c>
      <c r="R10" s="34" t="s">
        <v>510</v>
      </c>
      <c r="S10" s="34" t="s">
        <v>511</v>
      </c>
      <c r="T10" s="34" t="s">
        <v>512</v>
      </c>
      <c r="U10" s="34" t="s">
        <v>513</v>
      </c>
      <c r="V10" s="34" t="s">
        <v>514</v>
      </c>
      <c r="W10" s="36" t="s">
        <v>515</v>
      </c>
    </row>
    <row r="11" spans="1:23" ht="140" customHeight="1" x14ac:dyDescent="0.35">
      <c r="A11" s="37">
        <v>7</v>
      </c>
      <c r="B11" s="38" t="s">
        <v>516</v>
      </c>
      <c r="C11" s="35" t="s">
        <v>517</v>
      </c>
      <c r="D11" s="35" t="s">
        <v>518</v>
      </c>
      <c r="E11" s="35" t="s">
        <v>519</v>
      </c>
      <c r="F11" s="35" t="s">
        <v>520</v>
      </c>
      <c r="G11" s="35" t="s">
        <v>521</v>
      </c>
      <c r="H11" s="35" t="s">
        <v>522</v>
      </c>
      <c r="I11" s="34" t="s">
        <v>523</v>
      </c>
      <c r="J11" s="34" t="s">
        <v>524</v>
      </c>
      <c r="K11" s="34" t="s">
        <v>525</v>
      </c>
      <c r="L11" s="34" t="s">
        <v>526</v>
      </c>
      <c r="M11" s="34" t="s">
        <v>527</v>
      </c>
      <c r="N11" s="34" t="s">
        <v>528</v>
      </c>
      <c r="O11" s="34" t="s">
        <v>529</v>
      </c>
      <c r="P11" s="34" t="s">
        <v>447</v>
      </c>
      <c r="Q11" s="34" t="s">
        <v>530</v>
      </c>
      <c r="R11" s="34" t="s">
        <v>531</v>
      </c>
      <c r="S11" s="34" t="s">
        <v>532</v>
      </c>
      <c r="T11" s="34" t="s">
        <v>533</v>
      </c>
      <c r="U11" s="34" t="s">
        <v>534</v>
      </c>
      <c r="V11" s="34" t="s">
        <v>535</v>
      </c>
      <c r="W11" s="36" t="s">
        <v>536</v>
      </c>
    </row>
    <row r="12" spans="1:23" ht="140" customHeight="1" x14ac:dyDescent="0.35">
      <c r="A12" s="37">
        <v>8</v>
      </c>
      <c r="B12" s="38" t="s">
        <v>537</v>
      </c>
      <c r="C12" s="35" t="s">
        <v>538</v>
      </c>
      <c r="D12" s="35" t="s">
        <v>539</v>
      </c>
      <c r="E12" s="35" t="s">
        <v>540</v>
      </c>
      <c r="F12" s="35" t="s">
        <v>541</v>
      </c>
      <c r="G12" s="35" t="s">
        <v>542</v>
      </c>
      <c r="H12" s="35" t="s">
        <v>543</v>
      </c>
      <c r="I12" s="34" t="s">
        <v>544</v>
      </c>
      <c r="J12" s="34" t="s">
        <v>545</v>
      </c>
      <c r="K12" s="34" t="s">
        <v>546</v>
      </c>
      <c r="L12" s="34" t="s">
        <v>547</v>
      </c>
      <c r="M12" s="34" t="s">
        <v>548</v>
      </c>
      <c r="N12" s="34" t="s">
        <v>549</v>
      </c>
      <c r="O12" s="34" t="s">
        <v>550</v>
      </c>
      <c r="P12" s="34" t="s">
        <v>447</v>
      </c>
      <c r="Q12" s="34" t="s">
        <v>551</v>
      </c>
      <c r="R12" s="34" t="s">
        <v>552</v>
      </c>
      <c r="S12" s="34" t="s">
        <v>553</v>
      </c>
      <c r="T12" s="34" t="s">
        <v>554</v>
      </c>
      <c r="U12" s="34" t="s">
        <v>555</v>
      </c>
      <c r="V12" s="34" t="s">
        <v>556</v>
      </c>
      <c r="W12" s="36" t="s">
        <v>557</v>
      </c>
    </row>
    <row r="13" spans="1:23" ht="140" customHeight="1" x14ac:dyDescent="0.35">
      <c r="A13" s="37">
        <v>9</v>
      </c>
      <c r="B13" s="38" t="s">
        <v>558</v>
      </c>
      <c r="C13" s="35" t="s">
        <v>559</v>
      </c>
      <c r="D13" s="35" t="s">
        <v>560</v>
      </c>
      <c r="E13" s="35" t="s">
        <v>561</v>
      </c>
      <c r="F13" s="35" t="s">
        <v>562</v>
      </c>
      <c r="G13" s="35" t="s">
        <v>563</v>
      </c>
      <c r="H13" s="35" t="s">
        <v>564</v>
      </c>
      <c r="I13" s="34" t="s">
        <v>565</v>
      </c>
      <c r="J13" s="34" t="s">
        <v>566</v>
      </c>
      <c r="K13" s="34" t="s">
        <v>567</v>
      </c>
      <c r="L13" s="34" t="s">
        <v>568</v>
      </c>
      <c r="M13" s="34" t="s">
        <v>569</v>
      </c>
      <c r="N13" s="34" t="s">
        <v>570</v>
      </c>
      <c r="O13" s="34" t="s">
        <v>571</v>
      </c>
      <c r="P13" s="34" t="s">
        <v>447</v>
      </c>
      <c r="Q13" s="34" t="s">
        <v>572</v>
      </c>
      <c r="R13" s="34" t="s">
        <v>573</v>
      </c>
      <c r="S13" s="34" t="s">
        <v>574</v>
      </c>
      <c r="T13" s="34" t="s">
        <v>575</v>
      </c>
      <c r="U13" s="34" t="s">
        <v>576</v>
      </c>
      <c r="V13" s="34" t="s">
        <v>577</v>
      </c>
      <c r="W13" s="36" t="s">
        <v>578</v>
      </c>
    </row>
    <row r="14" spans="1:23" ht="140" customHeight="1" x14ac:dyDescent="0.35">
      <c r="A14" s="37">
        <v>10</v>
      </c>
      <c r="B14" s="38" t="s">
        <v>579</v>
      </c>
      <c r="C14" s="35" t="s">
        <v>580</v>
      </c>
      <c r="D14" s="35" t="s">
        <v>581</v>
      </c>
      <c r="E14" s="35" t="s">
        <v>582</v>
      </c>
      <c r="F14" s="35" t="s">
        <v>583</v>
      </c>
      <c r="G14" s="35" t="s">
        <v>584</v>
      </c>
      <c r="H14" s="35" t="s">
        <v>585</v>
      </c>
      <c r="I14" s="34" t="s">
        <v>586</v>
      </c>
      <c r="J14" s="34" t="s">
        <v>587</v>
      </c>
      <c r="K14" s="34" t="s">
        <v>588</v>
      </c>
      <c r="L14" s="34" t="s">
        <v>589</v>
      </c>
      <c r="M14" s="34" t="s">
        <v>590</v>
      </c>
      <c r="N14" s="34" t="s">
        <v>591</v>
      </c>
      <c r="O14" s="34" t="s">
        <v>592</v>
      </c>
      <c r="P14" s="34" t="s">
        <v>447</v>
      </c>
      <c r="Q14" s="34" t="s">
        <v>593</v>
      </c>
      <c r="R14" s="34" t="s">
        <v>594</v>
      </c>
      <c r="S14" s="34" t="s">
        <v>595</v>
      </c>
      <c r="T14" s="34" t="s">
        <v>596</v>
      </c>
      <c r="U14" s="34" t="s">
        <v>534</v>
      </c>
      <c r="V14" s="34" t="s">
        <v>597</v>
      </c>
      <c r="W14" s="36" t="s">
        <v>598</v>
      </c>
    </row>
    <row r="15" spans="1:23" ht="140" customHeight="1" x14ac:dyDescent="0.35">
      <c r="A15" s="37">
        <v>11</v>
      </c>
      <c r="B15" s="38" t="s">
        <v>599</v>
      </c>
      <c r="C15" s="35" t="s">
        <v>600</v>
      </c>
      <c r="D15" s="35" t="s">
        <v>601</v>
      </c>
      <c r="E15" s="35" t="s">
        <v>602</v>
      </c>
      <c r="F15" s="35" t="s">
        <v>603</v>
      </c>
      <c r="G15" s="35" t="s">
        <v>604</v>
      </c>
      <c r="H15" s="35" t="s">
        <v>605</v>
      </c>
      <c r="I15" s="34" t="s">
        <v>606</v>
      </c>
      <c r="J15" s="34" t="s">
        <v>607</v>
      </c>
      <c r="K15" s="34" t="s">
        <v>608</v>
      </c>
      <c r="L15" s="34" t="s">
        <v>609</v>
      </c>
      <c r="M15" s="34" t="s">
        <v>610</v>
      </c>
      <c r="N15" s="34" t="s">
        <v>611</v>
      </c>
      <c r="O15" s="34" t="s">
        <v>612</v>
      </c>
      <c r="P15" s="34" t="s">
        <v>447</v>
      </c>
      <c r="Q15" s="34" t="s">
        <v>613</v>
      </c>
      <c r="R15" s="34" t="s">
        <v>614</v>
      </c>
      <c r="S15" s="34" t="s">
        <v>615</v>
      </c>
      <c r="T15" s="34" t="s">
        <v>616</v>
      </c>
      <c r="U15" s="34" t="s">
        <v>617</v>
      </c>
      <c r="V15" s="34" t="s">
        <v>618</v>
      </c>
      <c r="W15" s="36" t="s">
        <v>619</v>
      </c>
    </row>
    <row r="16" spans="1:23" ht="140" customHeight="1" x14ac:dyDescent="0.35">
      <c r="A16" s="37">
        <v>12</v>
      </c>
      <c r="B16" s="38" t="s">
        <v>620</v>
      </c>
      <c r="C16" s="35" t="s">
        <v>621</v>
      </c>
      <c r="D16" s="35" t="s">
        <v>622</v>
      </c>
      <c r="E16" s="35" t="s">
        <v>623</v>
      </c>
      <c r="F16" s="35" t="s">
        <v>624</v>
      </c>
      <c r="G16" s="35" t="s">
        <v>625</v>
      </c>
      <c r="H16" s="35" t="s">
        <v>626</v>
      </c>
      <c r="I16" s="34" t="s">
        <v>627</v>
      </c>
      <c r="J16" s="34" t="s">
        <v>628</v>
      </c>
      <c r="K16" s="34" t="s">
        <v>629</v>
      </c>
      <c r="L16" s="34" t="s">
        <v>630</v>
      </c>
      <c r="M16" s="34" t="s">
        <v>631</v>
      </c>
      <c r="N16" s="34" t="s">
        <v>632</v>
      </c>
      <c r="O16" s="34" t="s">
        <v>633</v>
      </c>
      <c r="P16" s="34" t="s">
        <v>447</v>
      </c>
      <c r="Q16" s="34" t="s">
        <v>634</v>
      </c>
      <c r="R16" s="34" t="s">
        <v>635</v>
      </c>
      <c r="S16" s="34" t="s">
        <v>636</v>
      </c>
      <c r="T16" s="34" t="s">
        <v>637</v>
      </c>
      <c r="U16" s="34" t="s">
        <v>638</v>
      </c>
      <c r="V16" s="34" t="s">
        <v>639</v>
      </c>
      <c r="W16" s="36" t="s">
        <v>640</v>
      </c>
    </row>
    <row r="17" spans="1:23" ht="140" customHeight="1" x14ac:dyDescent="0.35">
      <c r="A17" s="37">
        <v>13</v>
      </c>
      <c r="B17" s="38" t="s">
        <v>641</v>
      </c>
      <c r="C17" s="35" t="s">
        <v>642</v>
      </c>
      <c r="D17" s="35" t="s">
        <v>643</v>
      </c>
      <c r="E17" s="35" t="s">
        <v>623</v>
      </c>
      <c r="F17" s="35" t="s">
        <v>644</v>
      </c>
      <c r="G17" s="35" t="s">
        <v>645</v>
      </c>
      <c r="H17" s="35" t="s">
        <v>646</v>
      </c>
      <c r="I17" s="34" t="s">
        <v>647</v>
      </c>
      <c r="J17" s="34" t="s">
        <v>648</v>
      </c>
      <c r="K17" s="34" t="s">
        <v>649</v>
      </c>
      <c r="L17" s="34" t="s">
        <v>650</v>
      </c>
      <c r="M17" s="34" t="s">
        <v>651</v>
      </c>
      <c r="N17" s="34" t="s">
        <v>652</v>
      </c>
      <c r="O17" s="34" t="s">
        <v>653</v>
      </c>
      <c r="P17" s="34" t="s">
        <v>447</v>
      </c>
      <c r="Q17" s="34" t="s">
        <v>654</v>
      </c>
      <c r="R17" s="34" t="s">
        <v>655</v>
      </c>
      <c r="S17" s="34" t="s">
        <v>656</v>
      </c>
      <c r="T17" s="34" t="s">
        <v>657</v>
      </c>
      <c r="U17" s="34" t="s">
        <v>658</v>
      </c>
      <c r="V17" s="34" t="s">
        <v>659</v>
      </c>
      <c r="W17" s="36" t="s">
        <v>660</v>
      </c>
    </row>
    <row r="18" spans="1:23" ht="140" customHeight="1" x14ac:dyDescent="0.35">
      <c r="A18" s="37">
        <v>14</v>
      </c>
      <c r="B18" s="38" t="s">
        <v>661</v>
      </c>
      <c r="C18" s="35" t="s">
        <v>662</v>
      </c>
      <c r="D18" s="35" t="s">
        <v>663</v>
      </c>
      <c r="E18" s="35" t="s">
        <v>623</v>
      </c>
      <c r="F18" s="35" t="s">
        <v>664</v>
      </c>
      <c r="G18" s="35" t="s">
        <v>665</v>
      </c>
      <c r="H18" s="35" t="s">
        <v>666</v>
      </c>
      <c r="I18" s="34" t="s">
        <v>667</v>
      </c>
      <c r="J18" s="34" t="s">
        <v>668</v>
      </c>
      <c r="K18" s="34" t="s">
        <v>669</v>
      </c>
      <c r="L18" s="34" t="s">
        <v>670</v>
      </c>
      <c r="M18" s="34" t="s">
        <v>671</v>
      </c>
      <c r="N18" s="34" t="s">
        <v>672</v>
      </c>
      <c r="O18" s="34" t="s">
        <v>673</v>
      </c>
      <c r="P18" s="34" t="s">
        <v>447</v>
      </c>
      <c r="Q18" s="34" t="s">
        <v>674</v>
      </c>
      <c r="R18" s="34" t="s">
        <v>675</v>
      </c>
      <c r="S18" s="34" t="s">
        <v>676</v>
      </c>
      <c r="T18" s="34" t="s">
        <v>677</v>
      </c>
      <c r="U18" s="34" t="s">
        <v>678</v>
      </c>
      <c r="V18" s="34" t="s">
        <v>679</v>
      </c>
      <c r="W18" s="36" t="s">
        <v>680</v>
      </c>
    </row>
    <row r="19" spans="1:23" ht="140" customHeight="1" x14ac:dyDescent="0.35">
      <c r="A19" s="37">
        <v>15</v>
      </c>
      <c r="B19" s="38" t="s">
        <v>681</v>
      </c>
      <c r="C19" s="35" t="s">
        <v>682</v>
      </c>
      <c r="D19" s="35" t="s">
        <v>683</v>
      </c>
      <c r="E19" s="35" t="s">
        <v>623</v>
      </c>
      <c r="F19" s="35" t="s">
        <v>684</v>
      </c>
      <c r="G19" s="35" t="s">
        <v>685</v>
      </c>
      <c r="H19" s="35" t="s">
        <v>686</v>
      </c>
      <c r="I19" s="34" t="s">
        <v>687</v>
      </c>
      <c r="J19" s="34" t="s">
        <v>688</v>
      </c>
      <c r="K19" s="34" t="s">
        <v>689</v>
      </c>
      <c r="L19" s="34" t="s">
        <v>690</v>
      </c>
      <c r="M19" s="34" t="s">
        <v>691</v>
      </c>
      <c r="N19" s="34" t="s">
        <v>692</v>
      </c>
      <c r="O19" s="34" t="s">
        <v>693</v>
      </c>
      <c r="P19" s="34" t="s">
        <v>447</v>
      </c>
      <c r="Q19" s="34" t="s">
        <v>694</v>
      </c>
      <c r="R19" s="34" t="s">
        <v>695</v>
      </c>
      <c r="S19" s="34" t="s">
        <v>696</v>
      </c>
      <c r="T19" s="34" t="s">
        <v>697</v>
      </c>
      <c r="U19" s="34" t="s">
        <v>678</v>
      </c>
      <c r="V19" s="34" t="s">
        <v>679</v>
      </c>
      <c r="W19" s="36" t="s">
        <v>698</v>
      </c>
    </row>
    <row r="20" spans="1:23" ht="140" customHeight="1" x14ac:dyDescent="0.35">
      <c r="A20" s="37">
        <v>16</v>
      </c>
      <c r="B20" s="38" t="s">
        <v>699</v>
      </c>
      <c r="C20" s="35" t="s">
        <v>700</v>
      </c>
      <c r="D20" s="35" t="s">
        <v>701</v>
      </c>
      <c r="E20" s="35" t="s">
        <v>623</v>
      </c>
      <c r="F20" s="35" t="s">
        <v>702</v>
      </c>
      <c r="G20" s="35" t="s">
        <v>703</v>
      </c>
      <c r="H20" s="35" t="s">
        <v>704</v>
      </c>
      <c r="I20" s="34" t="s">
        <v>705</v>
      </c>
      <c r="J20" s="34" t="s">
        <v>706</v>
      </c>
      <c r="K20" s="34" t="s">
        <v>707</v>
      </c>
      <c r="L20" s="34" t="s">
        <v>708</v>
      </c>
      <c r="M20" s="34" t="s">
        <v>651</v>
      </c>
      <c r="N20" s="34" t="s">
        <v>709</v>
      </c>
      <c r="O20" s="34" t="s">
        <v>710</v>
      </c>
      <c r="P20" s="34" t="s">
        <v>711</v>
      </c>
      <c r="Q20" s="34" t="s">
        <v>712</v>
      </c>
      <c r="R20" s="34" t="s">
        <v>713</v>
      </c>
      <c r="S20" s="34" t="s">
        <v>714</v>
      </c>
      <c r="T20" s="34" t="s">
        <v>715</v>
      </c>
      <c r="U20" s="34" t="s">
        <v>658</v>
      </c>
      <c r="V20" s="34" t="s">
        <v>716</v>
      </c>
      <c r="W20" s="36" t="s">
        <v>717</v>
      </c>
    </row>
    <row r="21" spans="1:23" ht="140" customHeight="1" x14ac:dyDescent="0.35">
      <c r="A21" s="37">
        <v>17</v>
      </c>
      <c r="B21" s="38" t="s">
        <v>718</v>
      </c>
      <c r="C21" s="35" t="s">
        <v>719</v>
      </c>
      <c r="D21" s="35" t="s">
        <v>720</v>
      </c>
      <c r="E21" s="35" t="s">
        <v>623</v>
      </c>
      <c r="F21" s="35" t="s">
        <v>721</v>
      </c>
      <c r="G21" s="35" t="s">
        <v>722</v>
      </c>
      <c r="H21" s="35" t="s">
        <v>723</v>
      </c>
      <c r="I21" s="34" t="s">
        <v>724</v>
      </c>
      <c r="J21" s="34" t="s">
        <v>725</v>
      </c>
      <c r="K21" s="34" t="s">
        <v>726</v>
      </c>
      <c r="L21" s="34" t="s">
        <v>727</v>
      </c>
      <c r="M21" s="34" t="s">
        <v>728</v>
      </c>
      <c r="N21" s="34" t="s">
        <v>729</v>
      </c>
      <c r="O21" s="34" t="s">
        <v>730</v>
      </c>
      <c r="P21" s="34" t="s">
        <v>447</v>
      </c>
      <c r="Q21" s="34" t="s">
        <v>731</v>
      </c>
      <c r="R21" s="34" t="s">
        <v>732</v>
      </c>
      <c r="S21" s="34" t="s">
        <v>733</v>
      </c>
      <c r="T21" s="34" t="s">
        <v>734</v>
      </c>
      <c r="U21" s="34" t="s">
        <v>735</v>
      </c>
      <c r="V21" s="34" t="s">
        <v>736</v>
      </c>
      <c r="W21" s="36" t="s">
        <v>737</v>
      </c>
    </row>
    <row r="22" spans="1:23" ht="140" customHeight="1" x14ac:dyDescent="0.35">
      <c r="A22" s="37">
        <v>18</v>
      </c>
      <c r="B22" s="38" t="s">
        <v>738</v>
      </c>
      <c r="C22" s="35" t="s">
        <v>739</v>
      </c>
      <c r="D22" s="35" t="s">
        <v>740</v>
      </c>
      <c r="E22" s="35" t="s">
        <v>623</v>
      </c>
      <c r="F22" s="35" t="s">
        <v>741</v>
      </c>
      <c r="G22" s="35" t="s">
        <v>742</v>
      </c>
      <c r="H22" s="35" t="s">
        <v>743</v>
      </c>
      <c r="I22" s="34" t="s">
        <v>744</v>
      </c>
      <c r="J22" s="34" t="s">
        <v>745</v>
      </c>
      <c r="K22" s="34" t="s">
        <v>746</v>
      </c>
      <c r="L22" s="34" t="s">
        <v>747</v>
      </c>
      <c r="M22" s="34" t="s">
        <v>748</v>
      </c>
      <c r="N22" s="34" t="s">
        <v>749</v>
      </c>
      <c r="O22" s="34" t="s">
        <v>750</v>
      </c>
      <c r="P22" s="34" t="s">
        <v>447</v>
      </c>
      <c r="Q22" s="34" t="s">
        <v>751</v>
      </c>
      <c r="R22" s="34" t="s">
        <v>752</v>
      </c>
      <c r="S22" s="34" t="s">
        <v>753</v>
      </c>
      <c r="T22" s="34" t="s">
        <v>754</v>
      </c>
      <c r="U22" s="34" t="s">
        <v>755</v>
      </c>
      <c r="V22" s="34" t="s">
        <v>756</v>
      </c>
      <c r="W22" s="36" t="s">
        <v>757</v>
      </c>
    </row>
    <row r="23" spans="1:23" ht="140" customHeight="1" x14ac:dyDescent="0.35">
      <c r="A23" s="37">
        <v>19</v>
      </c>
      <c r="B23" s="38" t="s">
        <v>758</v>
      </c>
      <c r="C23" s="35" t="s">
        <v>759</v>
      </c>
      <c r="D23" s="35" t="s">
        <v>457</v>
      </c>
      <c r="E23" s="35" t="s">
        <v>623</v>
      </c>
      <c r="F23" s="35" t="s">
        <v>760</v>
      </c>
      <c r="G23" s="35" t="s">
        <v>761</v>
      </c>
      <c r="H23" s="35" t="s">
        <v>762</v>
      </c>
      <c r="I23" s="34" t="s">
        <v>763</v>
      </c>
      <c r="J23" s="34" t="s">
        <v>764</v>
      </c>
      <c r="K23" s="34" t="s">
        <v>765</v>
      </c>
      <c r="L23" s="34" t="s">
        <v>766</v>
      </c>
      <c r="M23" s="34" t="s">
        <v>767</v>
      </c>
      <c r="N23" s="34" t="s">
        <v>768</v>
      </c>
      <c r="O23" s="34" t="s">
        <v>769</v>
      </c>
      <c r="P23" s="34" t="s">
        <v>447</v>
      </c>
      <c r="Q23" s="34" t="s">
        <v>770</v>
      </c>
      <c r="R23" s="34" t="s">
        <v>771</v>
      </c>
      <c r="S23" s="34" t="s">
        <v>772</v>
      </c>
      <c r="T23" s="34" t="s">
        <v>697</v>
      </c>
      <c r="U23" s="34" t="s">
        <v>773</v>
      </c>
      <c r="V23" s="34" t="s">
        <v>774</v>
      </c>
      <c r="W23" s="36" t="s">
        <v>775</v>
      </c>
    </row>
    <row r="24" spans="1:23" ht="140" customHeight="1" x14ac:dyDescent="0.35">
      <c r="A24" s="37">
        <v>20</v>
      </c>
      <c r="B24" s="38" t="s">
        <v>776</v>
      </c>
      <c r="C24" s="35" t="s">
        <v>777</v>
      </c>
      <c r="D24" s="35" t="s">
        <v>778</v>
      </c>
      <c r="E24" s="35" t="s">
        <v>623</v>
      </c>
      <c r="F24" s="35" t="s">
        <v>779</v>
      </c>
      <c r="G24" s="35" t="s">
        <v>780</v>
      </c>
      <c r="H24" s="35" t="s">
        <v>781</v>
      </c>
      <c r="I24" s="34" t="s">
        <v>782</v>
      </c>
      <c r="J24" s="34" t="s">
        <v>783</v>
      </c>
      <c r="K24" s="34" t="s">
        <v>784</v>
      </c>
      <c r="L24" s="34" t="s">
        <v>785</v>
      </c>
      <c r="M24" s="34" t="s">
        <v>786</v>
      </c>
      <c r="N24" s="34" t="s">
        <v>787</v>
      </c>
      <c r="O24" s="34" t="s">
        <v>788</v>
      </c>
      <c r="P24" s="34" t="s">
        <v>447</v>
      </c>
      <c r="Q24" s="34" t="s">
        <v>789</v>
      </c>
      <c r="R24" s="34" t="s">
        <v>790</v>
      </c>
      <c r="S24" s="34" t="s">
        <v>791</v>
      </c>
      <c r="T24" s="34" t="s">
        <v>792</v>
      </c>
      <c r="U24" s="34" t="s">
        <v>793</v>
      </c>
      <c r="V24" s="34" t="s">
        <v>794</v>
      </c>
      <c r="W24" s="36" t="s">
        <v>795</v>
      </c>
    </row>
    <row r="25" spans="1:23" ht="140" customHeight="1" x14ac:dyDescent="0.35">
      <c r="A25" s="37">
        <v>21</v>
      </c>
      <c r="B25" s="38" t="s">
        <v>796</v>
      </c>
      <c r="C25" s="35" t="s">
        <v>797</v>
      </c>
      <c r="D25" s="35" t="s">
        <v>798</v>
      </c>
      <c r="E25" s="35" t="s">
        <v>623</v>
      </c>
      <c r="F25" s="35" t="s">
        <v>799</v>
      </c>
      <c r="G25" s="35" t="s">
        <v>800</v>
      </c>
      <c r="H25" s="35" t="s">
        <v>801</v>
      </c>
      <c r="I25" s="34" t="s">
        <v>802</v>
      </c>
      <c r="J25" s="34" t="s">
        <v>803</v>
      </c>
      <c r="K25" s="34" t="s">
        <v>804</v>
      </c>
      <c r="L25" s="34" t="s">
        <v>805</v>
      </c>
      <c r="M25" s="34" t="s">
        <v>806</v>
      </c>
      <c r="N25" s="34" t="s">
        <v>807</v>
      </c>
      <c r="O25" s="34" t="s">
        <v>808</v>
      </c>
      <c r="P25" s="34" t="s">
        <v>447</v>
      </c>
      <c r="Q25" s="34" t="s">
        <v>789</v>
      </c>
      <c r="R25" s="34" t="s">
        <v>790</v>
      </c>
      <c r="S25" s="34" t="s">
        <v>809</v>
      </c>
      <c r="T25" s="34" t="s">
        <v>810</v>
      </c>
      <c r="U25" s="34" t="s">
        <v>811</v>
      </c>
      <c r="V25" s="34" t="s">
        <v>812</v>
      </c>
      <c r="W25" s="36" t="s">
        <v>813</v>
      </c>
    </row>
    <row r="26" spans="1:23" ht="140" customHeight="1" x14ac:dyDescent="0.35">
      <c r="A26" s="37">
        <v>22</v>
      </c>
      <c r="B26" s="38" t="s">
        <v>814</v>
      </c>
      <c r="C26" s="35" t="s">
        <v>815</v>
      </c>
      <c r="D26" s="35" t="s">
        <v>457</v>
      </c>
      <c r="E26" s="35" t="s">
        <v>623</v>
      </c>
      <c r="F26" s="35" t="s">
        <v>816</v>
      </c>
      <c r="G26" s="35" t="s">
        <v>817</v>
      </c>
      <c r="H26" s="35" t="s">
        <v>818</v>
      </c>
      <c r="I26" s="34" t="s">
        <v>819</v>
      </c>
      <c r="J26" s="34" t="s">
        <v>820</v>
      </c>
      <c r="K26" s="34" t="s">
        <v>821</v>
      </c>
      <c r="L26" s="34" t="s">
        <v>822</v>
      </c>
      <c r="M26" s="34" t="s">
        <v>823</v>
      </c>
      <c r="N26" s="34" t="s">
        <v>824</v>
      </c>
      <c r="O26" s="34" t="s">
        <v>825</v>
      </c>
      <c r="P26" s="34" t="s">
        <v>447</v>
      </c>
      <c r="Q26" s="34" t="s">
        <v>826</v>
      </c>
      <c r="R26" s="34" t="s">
        <v>827</v>
      </c>
      <c r="S26" s="34" t="s">
        <v>828</v>
      </c>
      <c r="T26" s="34" t="s">
        <v>754</v>
      </c>
      <c r="U26" s="34" t="s">
        <v>829</v>
      </c>
      <c r="V26" s="34" t="s">
        <v>830</v>
      </c>
      <c r="W26" s="36" t="s">
        <v>831</v>
      </c>
    </row>
    <row r="27" spans="1:23" ht="140" customHeight="1" x14ac:dyDescent="0.35">
      <c r="A27" s="37">
        <v>23</v>
      </c>
      <c r="B27" s="38" t="s">
        <v>832</v>
      </c>
      <c r="C27" s="35" t="s">
        <v>833</v>
      </c>
      <c r="D27" s="35" t="s">
        <v>457</v>
      </c>
      <c r="E27" s="35" t="s">
        <v>623</v>
      </c>
      <c r="F27" s="35" t="s">
        <v>834</v>
      </c>
      <c r="G27" s="35" t="s">
        <v>835</v>
      </c>
      <c r="H27" s="35" t="s">
        <v>836</v>
      </c>
      <c r="I27" s="34" t="s">
        <v>837</v>
      </c>
      <c r="J27" s="34" t="s">
        <v>838</v>
      </c>
      <c r="K27" s="34" t="s">
        <v>839</v>
      </c>
      <c r="L27" s="34" t="s">
        <v>727</v>
      </c>
      <c r="M27" s="34" t="s">
        <v>840</v>
      </c>
      <c r="N27" s="34" t="s">
        <v>841</v>
      </c>
      <c r="O27" s="34" t="s">
        <v>842</v>
      </c>
      <c r="P27" s="34" t="s">
        <v>447</v>
      </c>
      <c r="Q27" s="34" t="s">
        <v>843</v>
      </c>
      <c r="R27" s="34" t="s">
        <v>844</v>
      </c>
      <c r="S27" s="34" t="s">
        <v>845</v>
      </c>
      <c r="T27" s="34" t="s">
        <v>846</v>
      </c>
      <c r="U27" s="34" t="s">
        <v>847</v>
      </c>
      <c r="V27" s="34" t="s">
        <v>848</v>
      </c>
      <c r="W27" s="36" t="s">
        <v>849</v>
      </c>
    </row>
    <row r="28" spans="1:23" ht="140" customHeight="1" x14ac:dyDescent="0.35">
      <c r="A28" s="37">
        <v>24</v>
      </c>
      <c r="B28" s="38" t="s">
        <v>850</v>
      </c>
      <c r="C28" s="35" t="s">
        <v>851</v>
      </c>
      <c r="D28" s="35" t="s">
        <v>457</v>
      </c>
      <c r="E28" s="35" t="s">
        <v>623</v>
      </c>
      <c r="F28" s="35" t="s">
        <v>852</v>
      </c>
      <c r="G28" s="35" t="s">
        <v>853</v>
      </c>
      <c r="H28" s="35" t="s">
        <v>854</v>
      </c>
      <c r="I28" s="34" t="s">
        <v>855</v>
      </c>
      <c r="J28" s="34" t="s">
        <v>856</v>
      </c>
      <c r="K28" s="34" t="s">
        <v>857</v>
      </c>
      <c r="L28" s="34" t="s">
        <v>858</v>
      </c>
      <c r="M28" s="34" t="s">
        <v>859</v>
      </c>
      <c r="N28" s="34" t="s">
        <v>860</v>
      </c>
      <c r="O28" s="34" t="s">
        <v>861</v>
      </c>
      <c r="P28" s="34" t="s">
        <v>447</v>
      </c>
      <c r="Q28" s="34" t="s">
        <v>862</v>
      </c>
      <c r="R28" s="34" t="s">
        <v>863</v>
      </c>
      <c r="S28" s="34" t="s">
        <v>864</v>
      </c>
      <c r="T28" s="34" t="s">
        <v>865</v>
      </c>
      <c r="U28" s="34" t="s">
        <v>866</v>
      </c>
      <c r="V28" s="34" t="s">
        <v>867</v>
      </c>
      <c r="W28" s="36" t="s">
        <v>868</v>
      </c>
    </row>
    <row r="29" spans="1:23" ht="140" customHeight="1" x14ac:dyDescent="0.35">
      <c r="A29" s="37">
        <v>25</v>
      </c>
      <c r="B29" s="38" t="s">
        <v>869</v>
      </c>
      <c r="C29" s="35" t="s">
        <v>870</v>
      </c>
      <c r="D29" s="35" t="s">
        <v>871</v>
      </c>
      <c r="E29" s="35" t="s">
        <v>623</v>
      </c>
      <c r="F29" s="35" t="s">
        <v>872</v>
      </c>
      <c r="G29" s="35" t="s">
        <v>873</v>
      </c>
      <c r="H29" s="35" t="s">
        <v>874</v>
      </c>
      <c r="I29" s="34" t="s">
        <v>875</v>
      </c>
      <c r="J29" s="34" t="s">
        <v>876</v>
      </c>
      <c r="K29" s="34" t="s">
        <v>877</v>
      </c>
      <c r="L29" s="34" t="s">
        <v>878</v>
      </c>
      <c r="M29" s="34" t="s">
        <v>879</v>
      </c>
      <c r="N29" s="34" t="s">
        <v>880</v>
      </c>
      <c r="O29" s="34" t="s">
        <v>881</v>
      </c>
      <c r="P29" s="34" t="s">
        <v>447</v>
      </c>
      <c r="Q29" s="34" t="s">
        <v>882</v>
      </c>
      <c r="R29" s="34" t="s">
        <v>883</v>
      </c>
      <c r="S29" s="34" t="s">
        <v>884</v>
      </c>
      <c r="T29" s="34" t="s">
        <v>885</v>
      </c>
      <c r="U29" s="34" t="s">
        <v>886</v>
      </c>
      <c r="V29" s="34" t="s">
        <v>887</v>
      </c>
      <c r="W29" s="36" t="s">
        <v>888</v>
      </c>
    </row>
    <row r="30" spans="1:23" ht="140" customHeight="1" x14ac:dyDescent="0.35">
      <c r="A30" s="37">
        <v>26</v>
      </c>
      <c r="B30" s="38" t="s">
        <v>889</v>
      </c>
      <c r="C30" s="35" t="s">
        <v>890</v>
      </c>
      <c r="D30" s="35" t="s">
        <v>891</v>
      </c>
      <c r="E30" s="35" t="s">
        <v>623</v>
      </c>
      <c r="F30" s="35" t="s">
        <v>892</v>
      </c>
      <c r="G30" s="35" t="s">
        <v>893</v>
      </c>
      <c r="H30" s="35" t="s">
        <v>894</v>
      </c>
      <c r="I30" s="34" t="s">
        <v>895</v>
      </c>
      <c r="J30" s="34" t="s">
        <v>896</v>
      </c>
      <c r="K30" s="34" t="s">
        <v>897</v>
      </c>
      <c r="L30" s="34" t="s">
        <v>858</v>
      </c>
      <c r="M30" s="34" t="s">
        <v>898</v>
      </c>
      <c r="N30" s="34" t="s">
        <v>899</v>
      </c>
      <c r="O30" s="34" t="s">
        <v>900</v>
      </c>
      <c r="P30" s="34" t="s">
        <v>447</v>
      </c>
      <c r="Q30" s="34" t="s">
        <v>901</v>
      </c>
      <c r="R30" s="34" t="s">
        <v>902</v>
      </c>
      <c r="S30" s="34" t="s">
        <v>903</v>
      </c>
      <c r="T30" s="34" t="s">
        <v>904</v>
      </c>
      <c r="U30" s="34" t="s">
        <v>905</v>
      </c>
      <c r="V30" s="34" t="s">
        <v>906</v>
      </c>
      <c r="W30" s="36" t="s">
        <v>907</v>
      </c>
    </row>
    <row r="31" spans="1:23" ht="140" customHeight="1" x14ac:dyDescent="0.35">
      <c r="A31" s="37">
        <v>27</v>
      </c>
      <c r="B31" s="38" t="s">
        <v>908</v>
      </c>
      <c r="C31" s="35" t="s">
        <v>909</v>
      </c>
      <c r="D31" s="35" t="s">
        <v>910</v>
      </c>
      <c r="E31" s="35" t="s">
        <v>623</v>
      </c>
      <c r="F31" s="35" t="s">
        <v>911</v>
      </c>
      <c r="G31" s="35" t="s">
        <v>912</v>
      </c>
      <c r="H31" s="35" t="s">
        <v>913</v>
      </c>
      <c r="I31" s="34" t="s">
        <v>914</v>
      </c>
      <c r="J31" s="34" t="s">
        <v>915</v>
      </c>
      <c r="K31" s="34" t="s">
        <v>916</v>
      </c>
      <c r="L31" s="34" t="s">
        <v>917</v>
      </c>
      <c r="M31" s="34" t="s">
        <v>728</v>
      </c>
      <c r="N31" s="34" t="s">
        <v>918</v>
      </c>
      <c r="O31" s="34" t="s">
        <v>919</v>
      </c>
      <c r="P31" s="34" t="s">
        <v>447</v>
      </c>
      <c r="Q31" s="34" t="s">
        <v>920</v>
      </c>
      <c r="R31" s="34" t="s">
        <v>921</v>
      </c>
      <c r="S31" s="34" t="s">
        <v>922</v>
      </c>
      <c r="T31" s="34" t="s">
        <v>657</v>
      </c>
      <c r="U31" s="34" t="s">
        <v>923</v>
      </c>
      <c r="V31" s="34" t="s">
        <v>924</v>
      </c>
      <c r="W31" s="36" t="s">
        <v>925</v>
      </c>
    </row>
    <row r="32" spans="1:23" ht="140" customHeight="1" x14ac:dyDescent="0.35">
      <c r="A32" s="37">
        <v>28</v>
      </c>
      <c r="B32" s="38" t="s">
        <v>926</v>
      </c>
      <c r="C32" s="35" t="s">
        <v>927</v>
      </c>
      <c r="D32" s="35" t="s">
        <v>928</v>
      </c>
      <c r="E32" s="35" t="s">
        <v>623</v>
      </c>
      <c r="F32" s="35" t="s">
        <v>929</v>
      </c>
      <c r="G32" s="35" t="s">
        <v>930</v>
      </c>
      <c r="H32" s="35" t="s">
        <v>931</v>
      </c>
      <c r="I32" s="34" t="s">
        <v>932</v>
      </c>
      <c r="J32" s="34" t="s">
        <v>933</v>
      </c>
      <c r="K32" s="34" t="s">
        <v>934</v>
      </c>
      <c r="L32" s="34" t="s">
        <v>935</v>
      </c>
      <c r="M32" s="34" t="s">
        <v>936</v>
      </c>
      <c r="N32" s="34" t="s">
        <v>937</v>
      </c>
      <c r="O32" s="34" t="s">
        <v>938</v>
      </c>
      <c r="P32" s="34" t="s">
        <v>447</v>
      </c>
      <c r="Q32" s="34" t="s">
        <v>939</v>
      </c>
      <c r="R32" s="34" t="s">
        <v>940</v>
      </c>
      <c r="S32" s="34" t="s">
        <v>941</v>
      </c>
      <c r="T32" s="34" t="s">
        <v>942</v>
      </c>
      <c r="U32" s="34" t="s">
        <v>943</v>
      </c>
      <c r="V32" s="34" t="s">
        <v>944</v>
      </c>
      <c r="W32" s="36" t="s">
        <v>945</v>
      </c>
    </row>
    <row r="33" spans="1:23" ht="140" customHeight="1" x14ac:dyDescent="0.35">
      <c r="A33" s="37">
        <v>29</v>
      </c>
      <c r="B33" s="38" t="s">
        <v>946</v>
      </c>
      <c r="C33" s="35" t="s">
        <v>947</v>
      </c>
      <c r="D33" s="35" t="s">
        <v>948</v>
      </c>
      <c r="E33" s="35" t="s">
        <v>623</v>
      </c>
      <c r="F33" s="35" t="s">
        <v>949</v>
      </c>
      <c r="G33" s="35" t="s">
        <v>950</v>
      </c>
      <c r="H33" s="35" t="s">
        <v>951</v>
      </c>
      <c r="I33" s="34" t="s">
        <v>952</v>
      </c>
      <c r="J33" s="34" t="s">
        <v>953</v>
      </c>
      <c r="K33" s="34" t="s">
        <v>954</v>
      </c>
      <c r="L33" s="34" t="s">
        <v>955</v>
      </c>
      <c r="M33" s="34" t="s">
        <v>956</v>
      </c>
      <c r="N33" s="34" t="s">
        <v>787</v>
      </c>
      <c r="O33" s="34" t="s">
        <v>957</v>
      </c>
      <c r="P33" s="34" t="s">
        <v>447</v>
      </c>
      <c r="Q33" s="34" t="s">
        <v>958</v>
      </c>
      <c r="R33" s="34" t="s">
        <v>959</v>
      </c>
      <c r="S33" s="34" t="s">
        <v>960</v>
      </c>
      <c r="T33" s="34" t="s">
        <v>961</v>
      </c>
      <c r="U33" s="34" t="s">
        <v>962</v>
      </c>
      <c r="V33" s="34" t="s">
        <v>963</v>
      </c>
      <c r="W33" s="36" t="s">
        <v>964</v>
      </c>
    </row>
    <row r="34" spans="1:23" ht="140" customHeight="1" x14ac:dyDescent="0.35">
      <c r="A34" s="37">
        <v>30</v>
      </c>
      <c r="B34" s="38" t="s">
        <v>965</v>
      </c>
      <c r="C34" s="35" t="s">
        <v>966</v>
      </c>
      <c r="D34" s="35" t="s">
        <v>967</v>
      </c>
      <c r="E34" s="35" t="s">
        <v>623</v>
      </c>
      <c r="F34" s="35" t="s">
        <v>968</v>
      </c>
      <c r="G34" s="35" t="s">
        <v>969</v>
      </c>
      <c r="H34" s="35" t="s">
        <v>970</v>
      </c>
      <c r="I34" s="34" t="s">
        <v>971</v>
      </c>
      <c r="J34" s="34" t="s">
        <v>972</v>
      </c>
      <c r="K34" s="34" t="s">
        <v>973</v>
      </c>
      <c r="L34" s="34" t="s">
        <v>974</v>
      </c>
      <c r="M34" s="34" t="s">
        <v>975</v>
      </c>
      <c r="N34" s="34" t="s">
        <v>976</v>
      </c>
      <c r="O34" s="34" t="s">
        <v>977</v>
      </c>
      <c r="P34" s="34" t="s">
        <v>978</v>
      </c>
      <c r="Q34" s="34" t="s">
        <v>979</v>
      </c>
      <c r="R34" s="34" t="s">
        <v>980</v>
      </c>
      <c r="S34" s="34" t="s">
        <v>981</v>
      </c>
      <c r="T34" s="34" t="s">
        <v>982</v>
      </c>
      <c r="U34" s="34" t="s">
        <v>983</v>
      </c>
      <c r="V34" s="34" t="s">
        <v>984</v>
      </c>
      <c r="W34" s="36" t="s">
        <v>985</v>
      </c>
    </row>
    <row r="35" spans="1:23" ht="140" customHeight="1" x14ac:dyDescent="0.35">
      <c r="A35" s="37">
        <v>31</v>
      </c>
      <c r="B35" s="38" t="s">
        <v>986</v>
      </c>
      <c r="C35" s="35" t="s">
        <v>987</v>
      </c>
      <c r="D35" s="35" t="s">
        <v>988</v>
      </c>
      <c r="E35" s="35" t="s">
        <v>623</v>
      </c>
      <c r="F35" s="35" t="s">
        <v>989</v>
      </c>
      <c r="G35" s="35" t="s">
        <v>990</v>
      </c>
      <c r="H35" s="35" t="s">
        <v>991</v>
      </c>
      <c r="I35" s="34" t="s">
        <v>992</v>
      </c>
      <c r="J35" s="34" t="s">
        <v>993</v>
      </c>
      <c r="K35" s="34" t="s">
        <v>994</v>
      </c>
      <c r="L35" s="34" t="s">
        <v>995</v>
      </c>
      <c r="M35" s="34" t="s">
        <v>996</v>
      </c>
      <c r="N35" s="34" t="s">
        <v>997</v>
      </c>
      <c r="O35" s="34" t="s">
        <v>998</v>
      </c>
      <c r="P35" s="34" t="s">
        <v>447</v>
      </c>
      <c r="Q35" s="34" t="s">
        <v>999</v>
      </c>
      <c r="R35" s="34" t="s">
        <v>1000</v>
      </c>
      <c r="S35" s="34" t="s">
        <v>1001</v>
      </c>
      <c r="T35" s="34" t="s">
        <v>1002</v>
      </c>
      <c r="U35" s="34" t="s">
        <v>1003</v>
      </c>
      <c r="V35" s="34" t="s">
        <v>1004</v>
      </c>
      <c r="W35" s="36" t="s">
        <v>1005</v>
      </c>
    </row>
    <row r="36" spans="1:23" ht="140" customHeight="1" x14ac:dyDescent="0.35">
      <c r="A36" s="37">
        <v>32</v>
      </c>
      <c r="B36" s="38" t="s">
        <v>1006</v>
      </c>
      <c r="C36" s="35" t="s">
        <v>1007</v>
      </c>
      <c r="D36" s="35" t="s">
        <v>1008</v>
      </c>
      <c r="E36" s="35" t="s">
        <v>623</v>
      </c>
      <c r="F36" s="35" t="s">
        <v>1009</v>
      </c>
      <c r="G36" s="35" t="s">
        <v>1010</v>
      </c>
      <c r="H36" s="35" t="s">
        <v>1011</v>
      </c>
      <c r="I36" s="34" t="s">
        <v>1012</v>
      </c>
      <c r="J36" s="34" t="s">
        <v>1013</v>
      </c>
      <c r="K36" s="34" t="s">
        <v>1014</v>
      </c>
      <c r="L36" s="34" t="s">
        <v>1015</v>
      </c>
      <c r="M36" s="34" t="s">
        <v>1016</v>
      </c>
      <c r="N36" s="34" t="s">
        <v>1017</v>
      </c>
      <c r="O36" s="34" t="s">
        <v>1018</v>
      </c>
      <c r="P36" s="34" t="s">
        <v>447</v>
      </c>
      <c r="Q36" s="34" t="s">
        <v>1019</v>
      </c>
      <c r="R36" s="34" t="s">
        <v>1020</v>
      </c>
      <c r="S36" s="34" t="s">
        <v>1021</v>
      </c>
      <c r="T36" s="34" t="s">
        <v>982</v>
      </c>
      <c r="U36" s="34" t="s">
        <v>1022</v>
      </c>
      <c r="V36" s="34" t="s">
        <v>1023</v>
      </c>
      <c r="W36" s="36" t="s">
        <v>1024</v>
      </c>
    </row>
    <row r="38" spans="1:23" ht="22" customHeight="1" x14ac:dyDescent="0.35">
      <c r="A38" s="29" t="s">
        <v>1025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ht="22" customHeight="1" x14ac:dyDescent="0.35"/>
    <row r="40" spans="1:23" ht="22" customHeight="1" x14ac:dyDescent="0.35">
      <c r="A40" s="39" t="s">
        <v>1026</v>
      </c>
      <c r="B40" s="40" t="s">
        <v>1027</v>
      </c>
    </row>
    <row r="41" spans="1:23" ht="22" customHeight="1" x14ac:dyDescent="0.35">
      <c r="A41" s="39" t="s">
        <v>1028</v>
      </c>
      <c r="B41" s="40" t="s">
        <v>1029</v>
      </c>
    </row>
    <row r="42" spans="1:23" ht="22" customHeight="1" x14ac:dyDescent="0.35">
      <c r="A42" s="39" t="s">
        <v>1030</v>
      </c>
      <c r="B42" s="40" t="s">
        <v>1031</v>
      </c>
    </row>
    <row r="43" spans="1:23" ht="22" customHeight="1" x14ac:dyDescent="0.35">
      <c r="A43" s="39" t="s">
        <v>1032</v>
      </c>
      <c r="B43" s="40" t="s">
        <v>1033</v>
      </c>
    </row>
    <row r="44" spans="1:23" ht="22" customHeight="1" x14ac:dyDescent="0.35">
      <c r="A44" s="39" t="s">
        <v>1034</v>
      </c>
      <c r="B44" s="41" t="s">
        <v>1035</v>
      </c>
    </row>
    <row r="45" spans="1:23" ht="22" customHeight="1" x14ac:dyDescent="0.35">
      <c r="A45" s="39"/>
      <c r="B45" s="40"/>
    </row>
    <row r="46" spans="1:23" ht="22" customHeight="1" x14ac:dyDescent="0.35">
      <c r="A46" s="39" t="s">
        <v>1036</v>
      </c>
      <c r="B46" s="40">
        <f>COUNTA(C5:V36)</f>
        <v>640</v>
      </c>
    </row>
    <row r="47" spans="1:23" ht="22" customHeight="1" x14ac:dyDescent="0.35">
      <c r="A47" s="39" t="s">
        <v>1037</v>
      </c>
      <c r="B47" s="40">
        <f>32*20</f>
        <v>640</v>
      </c>
    </row>
    <row r="48" spans="1:23" ht="22" customHeight="1" x14ac:dyDescent="0.35">
      <c r="A48" s="39" t="s">
        <v>1038</v>
      </c>
      <c r="B48" s="42">
        <f>COUNTA(C5:V36)/(32*20)</f>
        <v>1</v>
      </c>
    </row>
  </sheetData>
  <mergeCells count="3">
    <mergeCell ref="A1:W1"/>
    <mergeCell ref="A2:W2"/>
    <mergeCell ref="A38:W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Trades</vt:lpstr>
      <vt:lpstr>Reasoning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Sica</dc:creator>
  <cp:lastModifiedBy>Colin Sica</cp:lastModifiedBy>
  <dcterms:created xsi:type="dcterms:W3CDTF">2026-04-18T04:10:35Z</dcterms:created>
  <dcterms:modified xsi:type="dcterms:W3CDTF">2026-04-18T04:43:00Z</dcterms:modified>
</cp:coreProperties>
</file>