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13_ncr:1_{A1133FEB-7117-49B7-987B-78F18CCC3D18}" xr6:coauthVersionLast="47" xr6:coauthVersionMax="47" xr10:uidLastSave="{00000000-0000-0000-0000-000000000000}"/>
  <bookViews>
    <workbookView xWindow="-110" yWindow="-110" windowWidth="19420" windowHeight="11500" xr2:uid="{DE62123A-0591-4346-9E0D-12C66310CBA1}"/>
  </bookViews>
  <sheets>
    <sheet name="Dashboard" sheetId="6" r:id="rId1"/>
    <sheet name="Colin's Mock" sheetId="1" r:id="rId2"/>
    <sheet name="Actual nfl first round" sheetId="2" r:id="rId3"/>
    <sheet name="Other analyst " sheetId="3" r:id="rId4"/>
    <sheet name="Accuracy Analysis" sheetId="4" r:id="rId5"/>
    <sheet name="Colin Mock wTrade" sheetId="5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54" i="6" l="1"/>
  <c r="H54" i="6"/>
  <c r="E54" i="6"/>
  <c r="B54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C18" i="6" a="1"/>
  <c r="C18" i="6" s="1"/>
  <c r="I14" i="6"/>
  <c r="F14" i="6"/>
  <c r="B14" i="6"/>
  <c r="L9" i="6"/>
  <c r="J9" i="6"/>
  <c r="H9" i="6"/>
  <c r="F9" i="6"/>
  <c r="D9" i="6"/>
  <c r="B9" i="6"/>
  <c r="L70" i="4" a="1"/>
  <c r="L70" i="4"/>
  <c r="L69" i="4" a="1"/>
  <c r="L69" i="4"/>
  <c r="L68" i="4" a="1"/>
  <c r="L68" i="4" s="1"/>
  <c r="L67" i="4" a="1"/>
  <c r="L67" i="4"/>
  <c r="L66" i="4" a="1"/>
  <c r="L66" i="4"/>
  <c r="L65" i="4" a="1"/>
  <c r="L65" i="4"/>
  <c r="L64" i="4" a="1"/>
  <c r="L64" i="4" s="1"/>
  <c r="L63" i="4" a="1"/>
  <c r="L63" i="4" s="1"/>
  <c r="L62" i="4" a="1"/>
  <c r="L62" i="4" s="1"/>
  <c r="L61" i="4" a="1"/>
  <c r="L61" i="4" s="1"/>
  <c r="L60" i="4" a="1"/>
  <c r="L60" i="4" s="1"/>
  <c r="L59" i="4" a="1"/>
  <c r="L59" i="4" s="1"/>
  <c r="L58" i="4" a="1"/>
  <c r="L58" i="4" s="1"/>
  <c r="L57" i="4" a="1"/>
  <c r="L57" i="4"/>
  <c r="L56" i="4" a="1"/>
  <c r="L56" i="4" s="1"/>
  <c r="L55" i="4" a="1"/>
  <c r="L55" i="4"/>
  <c r="L54" i="4" a="1"/>
  <c r="L54" i="4"/>
  <c r="L53" i="4" a="1"/>
  <c r="L53" i="4"/>
  <c r="L52" i="4" a="1"/>
  <c r="L52" i="4" s="1"/>
  <c r="L51" i="4" a="1"/>
  <c r="L51" i="4"/>
  <c r="L50" i="4" a="1"/>
  <c r="L50" i="4"/>
  <c r="L49" i="4" a="1"/>
  <c r="L49" i="4"/>
  <c r="L48" i="4" a="1"/>
  <c r="L48" i="4" s="1"/>
  <c r="L47" i="4" a="1"/>
  <c r="L47" i="4"/>
  <c r="L46" i="4" a="1"/>
  <c r="L46" i="4" s="1"/>
  <c r="L45" i="4" a="1"/>
  <c r="L45" i="4"/>
  <c r="L44" i="4" a="1"/>
  <c r="L44" i="4"/>
  <c r="L43" i="4" a="1"/>
  <c r="L43" i="4"/>
  <c r="L42" i="4" a="1"/>
  <c r="L42" i="4"/>
  <c r="L41" i="4" a="1"/>
  <c r="L41" i="4" s="1"/>
  <c r="L40" i="4" a="1"/>
  <c r="L40" i="4" s="1"/>
  <c r="L39" i="4" a="1"/>
  <c r="L39" i="4"/>
  <c r="L38" i="4" a="1"/>
  <c r="L38" i="4"/>
  <c r="EK33" i="4"/>
  <c r="EK32" i="4"/>
  <c r="EK31" i="4"/>
  <c r="EK30" i="4"/>
  <c r="EK29" i="4"/>
  <c r="EK28" i="4"/>
  <c r="EK27" i="4"/>
  <c r="EK26" i="4"/>
  <c r="EK25" i="4"/>
  <c r="EK24" i="4"/>
  <c r="EK23" i="4"/>
  <c r="EK22" i="4"/>
  <c r="EK21" i="4"/>
  <c r="EK20" i="4"/>
  <c r="EK19" i="4"/>
  <c r="EK18" i="4"/>
  <c r="EK17" i="4"/>
  <c r="EK16" i="4"/>
  <c r="EK15" i="4"/>
  <c r="EK14" i="4"/>
  <c r="EK13" i="4"/>
  <c r="EK12" i="4"/>
  <c r="EK11" i="4"/>
  <c r="EK10" i="4"/>
  <c r="EK9" i="4"/>
  <c r="EK8" i="4"/>
  <c r="EK7" i="4"/>
  <c r="EK6" i="4"/>
  <c r="EK5" i="4"/>
  <c r="EK4" i="4"/>
  <c r="EK3" i="4"/>
  <c r="EK2" i="4"/>
  <c r="EI33" i="4" a="1"/>
  <c r="EI33" i="4" s="1"/>
  <c r="EH33" i="4"/>
  <c r="EE33" i="4" a="1"/>
  <c r="EE33" i="4" s="1"/>
  <c r="ED33" i="4"/>
  <c r="EA33" i="4" a="1"/>
  <c r="EA33" i="4" s="1"/>
  <c r="DZ33" i="4"/>
  <c r="DW33" i="4" a="1"/>
  <c r="DW33" i="4" s="1"/>
  <c r="DV33" i="4"/>
  <c r="EI32" i="4" a="1"/>
  <c r="EI32" i="4" s="1"/>
  <c r="EH32" i="4"/>
  <c r="EE32" i="4" a="1"/>
  <c r="EE32" i="4" s="1"/>
  <c r="ED32" i="4"/>
  <c r="EA32" i="4" a="1"/>
  <c r="EA32" i="4" s="1"/>
  <c r="DZ32" i="4"/>
  <c r="DW32" i="4" a="1"/>
  <c r="DW32" i="4" s="1"/>
  <c r="DV32" i="4"/>
  <c r="EI31" i="4" a="1"/>
  <c r="EI31" i="4" s="1"/>
  <c r="EH31" i="4"/>
  <c r="EE31" i="4" a="1"/>
  <c r="EE31" i="4" s="1"/>
  <c r="ED31" i="4"/>
  <c r="EA31" i="4" a="1"/>
  <c r="EA31" i="4" s="1"/>
  <c r="DZ31" i="4"/>
  <c r="DW31" i="4" a="1"/>
  <c r="DW31" i="4" s="1"/>
  <c r="DV31" i="4"/>
  <c r="EI30" i="4" a="1"/>
  <c r="EI30" i="4" s="1"/>
  <c r="EH30" i="4"/>
  <c r="EE30" i="4" a="1"/>
  <c r="EE30" i="4" s="1"/>
  <c r="ED30" i="4"/>
  <c r="EA30" i="4" a="1"/>
  <c r="EA30" i="4" s="1"/>
  <c r="DZ30" i="4"/>
  <c r="DW30" i="4" a="1"/>
  <c r="DW30" i="4"/>
  <c r="DV30" i="4"/>
  <c r="EI29" i="4" a="1"/>
  <c r="EI29" i="4" s="1"/>
  <c r="EH29" i="4"/>
  <c r="EE29" i="4" a="1"/>
  <c r="EE29" i="4" s="1"/>
  <c r="ED29" i="4"/>
  <c r="EA29" i="4" a="1"/>
  <c r="EA29" i="4" s="1"/>
  <c r="DZ29" i="4"/>
  <c r="DW29" i="4" a="1"/>
  <c r="DW29" i="4" s="1"/>
  <c r="DV29" i="4"/>
  <c r="EI28" i="4" a="1"/>
  <c r="EI28" i="4" s="1"/>
  <c r="EH28" i="4"/>
  <c r="EE28" i="4" a="1"/>
  <c r="EE28" i="4"/>
  <c r="ED28" i="4"/>
  <c r="EA28" i="4" a="1"/>
  <c r="EA28" i="4" s="1"/>
  <c r="DZ28" i="4"/>
  <c r="DW28" i="4" a="1"/>
  <c r="DW28" i="4" s="1"/>
  <c r="DV28" i="4"/>
  <c r="EI27" i="4" a="1"/>
  <c r="EI27" i="4" s="1"/>
  <c r="EH27" i="4"/>
  <c r="EE27" i="4" a="1"/>
  <c r="EE27" i="4" s="1"/>
  <c r="ED27" i="4"/>
  <c r="EA27" i="4" a="1"/>
  <c r="EA27" i="4" s="1"/>
  <c r="DZ27" i="4"/>
  <c r="DW27" i="4" a="1"/>
  <c r="DW27" i="4" s="1"/>
  <c r="DV27" i="4"/>
  <c r="EI26" i="4" a="1"/>
  <c r="EI26" i="4" s="1"/>
  <c r="EH26" i="4"/>
  <c r="EE26" i="4" a="1"/>
  <c r="EE26" i="4" s="1"/>
  <c r="ED26" i="4"/>
  <c r="EA26" i="4" a="1"/>
  <c r="EA26" i="4" s="1"/>
  <c r="DZ26" i="4"/>
  <c r="DW26" i="4" a="1"/>
  <c r="DW26" i="4" s="1"/>
  <c r="DV26" i="4"/>
  <c r="EI25" i="4" a="1"/>
  <c r="EI25" i="4" s="1"/>
  <c r="EH25" i="4"/>
  <c r="EE25" i="4" a="1"/>
  <c r="EE25" i="4" s="1"/>
  <c r="ED25" i="4"/>
  <c r="EA25" i="4" a="1"/>
  <c r="EA25" i="4" s="1"/>
  <c r="DZ25" i="4"/>
  <c r="DW25" i="4" a="1"/>
  <c r="DW25" i="4" s="1"/>
  <c r="DV25" i="4"/>
  <c r="EI24" i="4" a="1"/>
  <c r="EI24" i="4" s="1"/>
  <c r="EH24" i="4"/>
  <c r="EE24" i="4" a="1"/>
  <c r="EE24" i="4" s="1"/>
  <c r="ED24" i="4"/>
  <c r="EA24" i="4" a="1"/>
  <c r="EA24" i="4" s="1"/>
  <c r="DZ24" i="4"/>
  <c r="DW24" i="4" a="1"/>
  <c r="DW24" i="4" s="1"/>
  <c r="DV24" i="4"/>
  <c r="EI23" i="4" a="1"/>
  <c r="EI23" i="4" s="1"/>
  <c r="EH23" i="4"/>
  <c r="EE23" i="4" a="1"/>
  <c r="EE23" i="4" s="1"/>
  <c r="ED23" i="4"/>
  <c r="EA23" i="4" a="1"/>
  <c r="EA23" i="4" s="1"/>
  <c r="DZ23" i="4"/>
  <c r="DW23" i="4" a="1"/>
  <c r="DW23" i="4" s="1"/>
  <c r="DV23" i="4"/>
  <c r="EI22" i="4" a="1"/>
  <c r="EI22" i="4" s="1"/>
  <c r="EH22" i="4"/>
  <c r="EE22" i="4" a="1"/>
  <c r="EE22" i="4" s="1"/>
  <c r="ED22" i="4"/>
  <c r="EA22" i="4" a="1"/>
  <c r="EA22" i="4" s="1"/>
  <c r="DZ22" i="4"/>
  <c r="DW22" i="4" a="1"/>
  <c r="DW22" i="4" s="1"/>
  <c r="DV22" i="4"/>
  <c r="EI21" i="4" a="1"/>
  <c r="EI21" i="4" s="1"/>
  <c r="EH21" i="4"/>
  <c r="EE21" i="4" a="1"/>
  <c r="EE21" i="4"/>
  <c r="ED21" i="4"/>
  <c r="EA21" i="4" a="1"/>
  <c r="EA21" i="4" s="1"/>
  <c r="DZ21" i="4"/>
  <c r="DW21" i="4" a="1"/>
  <c r="DW21" i="4" s="1"/>
  <c r="DV21" i="4"/>
  <c r="EI20" i="4" a="1"/>
  <c r="EI20" i="4" s="1"/>
  <c r="EH20" i="4"/>
  <c r="EE20" i="4" a="1"/>
  <c r="EE20" i="4" s="1"/>
  <c r="ED20" i="4"/>
  <c r="EA20" i="4" a="1"/>
  <c r="EA20" i="4"/>
  <c r="DZ20" i="4"/>
  <c r="DW20" i="4" a="1"/>
  <c r="DW20" i="4"/>
  <c r="DV20" i="4"/>
  <c r="EI19" i="4" a="1"/>
  <c r="EI19" i="4" s="1"/>
  <c r="EH19" i="4"/>
  <c r="EE19" i="4" a="1"/>
  <c r="EE19" i="4" s="1"/>
  <c r="ED19" i="4"/>
  <c r="EA19" i="4" a="1"/>
  <c r="EA19" i="4" s="1"/>
  <c r="DZ19" i="4"/>
  <c r="DW19" i="4" a="1"/>
  <c r="DW19" i="4" s="1"/>
  <c r="DV19" i="4"/>
  <c r="EI18" i="4" a="1"/>
  <c r="EI18" i="4" s="1"/>
  <c r="EH18" i="4"/>
  <c r="EE18" i="4" a="1"/>
  <c r="EE18" i="4"/>
  <c r="ED18" i="4"/>
  <c r="EA18" i="4" a="1"/>
  <c r="EA18" i="4" s="1"/>
  <c r="DZ18" i="4"/>
  <c r="DW18" i="4" a="1"/>
  <c r="DW18" i="4" s="1"/>
  <c r="DV18" i="4"/>
  <c r="EI17" i="4" a="1"/>
  <c r="EI17" i="4" s="1"/>
  <c r="EH17" i="4"/>
  <c r="EE17" i="4" a="1"/>
  <c r="EE17" i="4" s="1"/>
  <c r="ED17" i="4"/>
  <c r="EA17" i="4" a="1"/>
  <c r="EA17" i="4" s="1"/>
  <c r="DZ17" i="4"/>
  <c r="DW17" i="4" a="1"/>
  <c r="DW17" i="4" s="1"/>
  <c r="DV17" i="4"/>
  <c r="EI16" i="4" a="1"/>
  <c r="EI16" i="4" s="1"/>
  <c r="EH16" i="4"/>
  <c r="EE16" i="4" a="1"/>
  <c r="EE16" i="4" s="1"/>
  <c r="ED16" i="4"/>
  <c r="EA16" i="4" a="1"/>
  <c r="EA16" i="4" s="1"/>
  <c r="DZ16" i="4"/>
  <c r="DW16" i="4" a="1"/>
  <c r="DW16" i="4" s="1"/>
  <c r="DV16" i="4"/>
  <c r="EI15" i="4" a="1"/>
  <c r="EI15" i="4" s="1"/>
  <c r="EH15" i="4"/>
  <c r="EE15" i="4" a="1"/>
  <c r="EE15" i="4" s="1"/>
  <c r="ED15" i="4"/>
  <c r="EA15" i="4" a="1"/>
  <c r="EA15" i="4" s="1"/>
  <c r="DZ15" i="4"/>
  <c r="DW15" i="4" a="1"/>
  <c r="DW15" i="4"/>
  <c r="DV15" i="4"/>
  <c r="EI14" i="4" a="1"/>
  <c r="EI14" i="4" s="1"/>
  <c r="EH14" i="4"/>
  <c r="EE14" i="4" a="1"/>
  <c r="EE14" i="4"/>
  <c r="ED14" i="4"/>
  <c r="EA14" i="4" a="1"/>
  <c r="EA14" i="4" s="1"/>
  <c r="DZ14" i="4"/>
  <c r="DW14" i="4" a="1"/>
  <c r="DW14" i="4" s="1"/>
  <c r="DV14" i="4"/>
  <c r="EI13" i="4" a="1"/>
  <c r="EI13" i="4" s="1"/>
  <c r="EH13" i="4"/>
  <c r="EE13" i="4" a="1"/>
  <c r="EE13" i="4" s="1"/>
  <c r="ED13" i="4"/>
  <c r="EA13" i="4" a="1"/>
  <c r="EA13" i="4" s="1"/>
  <c r="DZ13" i="4"/>
  <c r="DW13" i="4" a="1"/>
  <c r="DW13" i="4" s="1"/>
  <c r="DV13" i="4"/>
  <c r="EI12" i="4" a="1"/>
  <c r="EI12" i="4" s="1"/>
  <c r="EH12" i="4"/>
  <c r="EE12" i="4" a="1"/>
  <c r="EE12" i="4" s="1"/>
  <c r="ED12" i="4"/>
  <c r="EA12" i="4" a="1"/>
  <c r="EA12" i="4" s="1"/>
  <c r="DZ12" i="4"/>
  <c r="DW12" i="4" a="1"/>
  <c r="DW12" i="4" s="1"/>
  <c r="DV12" i="4"/>
  <c r="EI11" i="4" a="1"/>
  <c r="EI11" i="4" s="1"/>
  <c r="EH11" i="4"/>
  <c r="EE11" i="4" a="1"/>
  <c r="EE11" i="4" s="1"/>
  <c r="ED11" i="4"/>
  <c r="EA11" i="4" a="1"/>
  <c r="EA11" i="4" s="1"/>
  <c r="DZ11" i="4"/>
  <c r="DW11" i="4" a="1"/>
  <c r="DW11" i="4" s="1"/>
  <c r="DV11" i="4"/>
  <c r="EI10" i="4" a="1"/>
  <c r="EI10" i="4"/>
  <c r="EH10" i="4"/>
  <c r="EE10" i="4" a="1"/>
  <c r="EE10" i="4" s="1"/>
  <c r="ED10" i="4"/>
  <c r="EA10" i="4" a="1"/>
  <c r="EA10" i="4" s="1"/>
  <c r="DZ10" i="4"/>
  <c r="DW10" i="4" a="1"/>
  <c r="DW10" i="4" s="1"/>
  <c r="DV10" i="4"/>
  <c r="EI9" i="4" a="1"/>
  <c r="EI9" i="4" s="1"/>
  <c r="EH9" i="4"/>
  <c r="EE9" i="4" a="1"/>
  <c r="EE9" i="4" s="1"/>
  <c r="ED9" i="4"/>
  <c r="EA9" i="4" a="1"/>
  <c r="EA9" i="4" s="1"/>
  <c r="DZ9" i="4"/>
  <c r="DW9" i="4" a="1"/>
  <c r="DW9" i="4" s="1"/>
  <c r="DV9" i="4"/>
  <c r="EI8" i="4" a="1"/>
  <c r="EI8" i="4" s="1"/>
  <c r="EH8" i="4"/>
  <c r="EE8" i="4" a="1"/>
  <c r="EE8" i="4" s="1"/>
  <c r="ED8" i="4"/>
  <c r="EA8" i="4" a="1"/>
  <c r="EA8" i="4" s="1"/>
  <c r="DZ8" i="4"/>
  <c r="DW8" i="4" a="1"/>
  <c r="DW8" i="4" s="1"/>
  <c r="DV8" i="4"/>
  <c r="EI7" i="4" a="1"/>
  <c r="EI7" i="4" s="1"/>
  <c r="EH7" i="4"/>
  <c r="EE7" i="4" a="1"/>
  <c r="EE7" i="4"/>
  <c r="ED7" i="4"/>
  <c r="EA7" i="4" a="1"/>
  <c r="EA7" i="4" s="1"/>
  <c r="DZ7" i="4"/>
  <c r="DW7" i="4" a="1"/>
  <c r="DW7" i="4" s="1"/>
  <c r="DV7" i="4"/>
  <c r="EI6" i="4" a="1"/>
  <c r="EI6" i="4"/>
  <c r="EH6" i="4"/>
  <c r="EE6" i="4" a="1"/>
  <c r="EE6" i="4" s="1"/>
  <c r="ED6" i="4"/>
  <c r="EA6" i="4" a="1"/>
  <c r="EA6" i="4" s="1"/>
  <c r="DZ6" i="4"/>
  <c r="DW6" i="4" a="1"/>
  <c r="DW6" i="4" s="1"/>
  <c r="DV6" i="4"/>
  <c r="EI5" i="4" a="1"/>
  <c r="EI5" i="4" s="1"/>
  <c r="EH5" i="4"/>
  <c r="EE5" i="4" a="1"/>
  <c r="EE5" i="4" s="1"/>
  <c r="ED5" i="4"/>
  <c r="EA5" i="4" a="1"/>
  <c r="EA5" i="4" s="1"/>
  <c r="DZ5" i="4"/>
  <c r="DW5" i="4" a="1"/>
  <c r="DW5" i="4" s="1"/>
  <c r="DV5" i="4"/>
  <c r="EI4" i="4" a="1"/>
  <c r="EI4" i="4" s="1"/>
  <c r="EH4" i="4"/>
  <c r="EE4" i="4" a="1"/>
  <c r="EE4" i="4" s="1"/>
  <c r="ED4" i="4"/>
  <c r="EA4" i="4" a="1"/>
  <c r="EA4" i="4" s="1"/>
  <c r="DZ4" i="4"/>
  <c r="DW4" i="4" a="1"/>
  <c r="DW4" i="4" s="1"/>
  <c r="DV4" i="4"/>
  <c r="EI3" i="4" a="1"/>
  <c r="EI3" i="4" s="1"/>
  <c r="EH3" i="4"/>
  <c r="EE3" i="4" a="1"/>
  <c r="EE3" i="4" s="1"/>
  <c r="ED3" i="4"/>
  <c r="EA3" i="4" a="1"/>
  <c r="EA3" i="4" s="1"/>
  <c r="DZ3" i="4"/>
  <c r="DW3" i="4" a="1"/>
  <c r="DW3" i="4" s="1"/>
  <c r="DV3" i="4"/>
  <c r="EI2" i="4" a="1"/>
  <c r="EI2" i="4" s="1"/>
  <c r="EH2" i="4"/>
  <c r="EE2" i="4" a="1"/>
  <c r="EE2" i="4" s="1"/>
  <c r="ED2" i="4"/>
  <c r="EA2" i="4" a="1"/>
  <c r="EA2" i="4" s="1"/>
  <c r="DZ2" i="4"/>
  <c r="DW2" i="4" a="1"/>
  <c r="DW2" i="4" s="1"/>
  <c r="DV2" i="4"/>
  <c r="K70" i="4" a="1"/>
  <c r="K70" i="4" s="1"/>
  <c r="J70" i="4" a="1"/>
  <c r="J70" i="4" s="1"/>
  <c r="I70" i="4" a="1"/>
  <c r="I70" i="4" s="1"/>
  <c r="K69" i="4" a="1"/>
  <c r="K69" i="4" s="1"/>
  <c r="J69" i="4" a="1"/>
  <c r="J69" i="4" s="1"/>
  <c r="I69" i="4" a="1"/>
  <c r="I69" i="4" s="1"/>
  <c r="K68" i="4" a="1"/>
  <c r="K68" i="4" s="1"/>
  <c r="J68" i="4" a="1"/>
  <c r="J68" i="4" s="1"/>
  <c r="I68" i="4" a="1"/>
  <c r="I68" i="4" s="1"/>
  <c r="K67" i="4" a="1"/>
  <c r="K67" i="4" s="1"/>
  <c r="J67" i="4" a="1"/>
  <c r="J67" i="4" s="1"/>
  <c r="I67" i="4" a="1"/>
  <c r="I67" i="4" s="1"/>
  <c r="K66" i="4" a="1"/>
  <c r="K66" i="4" s="1"/>
  <c r="J66" i="4" a="1"/>
  <c r="J66" i="4" s="1"/>
  <c r="I66" i="4" a="1"/>
  <c r="I66" i="4" s="1"/>
  <c r="K65" i="4" a="1"/>
  <c r="K65" i="4" s="1"/>
  <c r="J65" i="4" a="1"/>
  <c r="J65" i="4" s="1"/>
  <c r="I65" i="4" a="1"/>
  <c r="I65" i="4" s="1"/>
  <c r="K64" i="4" a="1"/>
  <c r="K64" i="4" s="1"/>
  <c r="J64" i="4" a="1"/>
  <c r="J64" i="4" s="1"/>
  <c r="I64" i="4" a="1"/>
  <c r="I64" i="4" s="1"/>
  <c r="K63" i="4" a="1"/>
  <c r="K63" i="4" s="1"/>
  <c r="J63" i="4" a="1"/>
  <c r="J63" i="4" s="1"/>
  <c r="I63" i="4" a="1"/>
  <c r="I63" i="4" s="1"/>
  <c r="K62" i="4" a="1"/>
  <c r="K62" i="4" s="1"/>
  <c r="J62" i="4" a="1"/>
  <c r="J62" i="4"/>
  <c r="I62" i="4" a="1"/>
  <c r="I62" i="4" s="1"/>
  <c r="K61" i="4" a="1"/>
  <c r="K61" i="4" s="1"/>
  <c r="J61" i="4" a="1"/>
  <c r="J61" i="4"/>
  <c r="I61" i="4" a="1"/>
  <c r="I61" i="4" s="1"/>
  <c r="K60" i="4" a="1"/>
  <c r="K60" i="4" s="1"/>
  <c r="J60" i="4" a="1"/>
  <c r="J60" i="4" s="1"/>
  <c r="I60" i="4" a="1"/>
  <c r="I60" i="4" s="1"/>
  <c r="K59" i="4" a="1"/>
  <c r="K59" i="4" s="1"/>
  <c r="J59" i="4" a="1"/>
  <c r="J59" i="4" s="1"/>
  <c r="I59" i="4" a="1"/>
  <c r="I59" i="4" s="1"/>
  <c r="K58" i="4" a="1"/>
  <c r="K58" i="4" s="1"/>
  <c r="J58" i="4" a="1"/>
  <c r="J58" i="4" s="1"/>
  <c r="I58" i="4" a="1"/>
  <c r="I58" i="4" s="1"/>
  <c r="K57" i="4" a="1"/>
  <c r="K57" i="4" s="1"/>
  <c r="J57" i="4" a="1"/>
  <c r="J57" i="4"/>
  <c r="I57" i="4" a="1"/>
  <c r="I57" i="4" s="1"/>
  <c r="K56" i="4" a="1"/>
  <c r="K56" i="4" s="1"/>
  <c r="J56" i="4" a="1"/>
  <c r="J56" i="4" s="1"/>
  <c r="I56" i="4" a="1"/>
  <c r="I56" i="4" s="1"/>
  <c r="K55" i="4" a="1"/>
  <c r="K55" i="4" s="1"/>
  <c r="J55" i="4" a="1"/>
  <c r="J55" i="4" s="1"/>
  <c r="I55" i="4" a="1"/>
  <c r="I55" i="4" s="1"/>
  <c r="K54" i="4" a="1"/>
  <c r="K54" i="4" s="1"/>
  <c r="J54" i="4" a="1"/>
  <c r="J54" i="4"/>
  <c r="I54" i="4" a="1"/>
  <c r="I54" i="4" s="1"/>
  <c r="K53" i="4" a="1"/>
  <c r="K53" i="4" s="1"/>
  <c r="J53" i="4" a="1"/>
  <c r="J53" i="4" s="1"/>
  <c r="I53" i="4" a="1"/>
  <c r="I53" i="4" s="1"/>
  <c r="K52" i="4" a="1"/>
  <c r="K52" i="4" s="1"/>
  <c r="J52" i="4" a="1"/>
  <c r="J52" i="4" s="1"/>
  <c r="I52" i="4" a="1"/>
  <c r="I52" i="4" s="1"/>
  <c r="K51" i="4" a="1"/>
  <c r="K51" i="4" s="1"/>
  <c r="J51" i="4" a="1"/>
  <c r="J51" i="4" s="1"/>
  <c r="I51" i="4" a="1"/>
  <c r="I51" i="4" s="1"/>
  <c r="K50" i="4" a="1"/>
  <c r="K50" i="4" s="1"/>
  <c r="J50" i="4" a="1"/>
  <c r="J50" i="4" s="1"/>
  <c r="I50" i="4" a="1"/>
  <c r="I50" i="4" s="1"/>
  <c r="K49" i="4" a="1"/>
  <c r="K49" i="4" s="1"/>
  <c r="J49" i="4" a="1"/>
  <c r="J49" i="4" s="1"/>
  <c r="I49" i="4" a="1"/>
  <c r="I49" i="4" s="1"/>
  <c r="K48" i="4" a="1"/>
  <c r="K48" i="4" s="1"/>
  <c r="J48" i="4" a="1"/>
  <c r="J48" i="4" s="1"/>
  <c r="I48" i="4" a="1"/>
  <c r="I48" i="4" s="1"/>
  <c r="K47" i="4" a="1"/>
  <c r="K47" i="4" s="1"/>
  <c r="J47" i="4" a="1"/>
  <c r="J47" i="4" s="1"/>
  <c r="I47" i="4" a="1"/>
  <c r="I47" i="4" s="1"/>
  <c r="K46" i="4" a="1"/>
  <c r="K46" i="4" s="1"/>
  <c r="J46" i="4" a="1"/>
  <c r="J46" i="4" s="1"/>
  <c r="I46" i="4" a="1"/>
  <c r="I46" i="4" s="1"/>
  <c r="K45" i="4" a="1"/>
  <c r="K45" i="4" s="1"/>
  <c r="J45" i="4" a="1"/>
  <c r="J45" i="4" s="1"/>
  <c r="I45" i="4" a="1"/>
  <c r="I45" i="4" s="1"/>
  <c r="K44" i="4" a="1"/>
  <c r="K44" i="4" s="1"/>
  <c r="J44" i="4" a="1"/>
  <c r="J44" i="4" s="1"/>
  <c r="I44" i="4" a="1"/>
  <c r="I44" i="4" s="1"/>
  <c r="K43" i="4" a="1"/>
  <c r="K43" i="4" s="1"/>
  <c r="J43" i="4" a="1"/>
  <c r="J43" i="4" s="1"/>
  <c r="I43" i="4" a="1"/>
  <c r="I43" i="4" s="1"/>
  <c r="K42" i="4" a="1"/>
  <c r="K42" i="4" s="1"/>
  <c r="J42" i="4" a="1"/>
  <c r="J42" i="4" s="1"/>
  <c r="I42" i="4" a="1"/>
  <c r="I42" i="4" s="1"/>
  <c r="K41" i="4" a="1"/>
  <c r="K41" i="4" s="1"/>
  <c r="J41" i="4" a="1"/>
  <c r="J41" i="4" s="1"/>
  <c r="I41" i="4" a="1"/>
  <c r="I41" i="4" s="1"/>
  <c r="K40" i="4" a="1"/>
  <c r="K40" i="4" s="1"/>
  <c r="J40" i="4" a="1"/>
  <c r="J40" i="4" s="1"/>
  <c r="I40" i="4" a="1"/>
  <c r="I40" i="4" s="1"/>
  <c r="K39" i="4" a="1"/>
  <c r="K39" i="4" s="1"/>
  <c r="J39" i="4" a="1"/>
  <c r="J39" i="4"/>
  <c r="I39" i="4" a="1"/>
  <c r="I39" i="4" s="1"/>
  <c r="K38" i="4" a="1"/>
  <c r="K38" i="4" s="1"/>
  <c r="J38" i="4" a="1"/>
  <c r="J38" i="4" s="1"/>
  <c r="I38" i="4" a="1"/>
  <c r="I38" i="4" s="1"/>
  <c r="EG33" i="4"/>
  <c r="EC33" i="4"/>
  <c r="DY33" i="4"/>
  <c r="DU33" i="4"/>
  <c r="EG32" i="4"/>
  <c r="EC32" i="4"/>
  <c r="DY32" i="4"/>
  <c r="DU32" i="4"/>
  <c r="EG31" i="4"/>
  <c r="EC31" i="4"/>
  <c r="DY31" i="4"/>
  <c r="DU31" i="4"/>
  <c r="EG30" i="4"/>
  <c r="EC30" i="4"/>
  <c r="DY30" i="4"/>
  <c r="DU30" i="4"/>
  <c r="EG29" i="4"/>
  <c r="EC29" i="4"/>
  <c r="DY29" i="4"/>
  <c r="DU29" i="4"/>
  <c r="EG28" i="4"/>
  <c r="EC28" i="4"/>
  <c r="DY28" i="4"/>
  <c r="DU28" i="4"/>
  <c r="EG27" i="4"/>
  <c r="EC27" i="4"/>
  <c r="DY27" i="4"/>
  <c r="DU27" i="4"/>
  <c r="EG26" i="4"/>
  <c r="EC26" i="4"/>
  <c r="DY26" i="4"/>
  <c r="DU26" i="4"/>
  <c r="EG25" i="4"/>
  <c r="EC25" i="4"/>
  <c r="DY25" i="4"/>
  <c r="DU25" i="4"/>
  <c r="EG24" i="4"/>
  <c r="EC24" i="4"/>
  <c r="DY24" i="4"/>
  <c r="DU24" i="4"/>
  <c r="EG23" i="4"/>
  <c r="EC23" i="4"/>
  <c r="DY23" i="4"/>
  <c r="DU23" i="4"/>
  <c r="EG22" i="4"/>
  <c r="EC22" i="4"/>
  <c r="DY22" i="4"/>
  <c r="DU22" i="4"/>
  <c r="EG21" i="4"/>
  <c r="EC21" i="4"/>
  <c r="DY21" i="4"/>
  <c r="DU21" i="4"/>
  <c r="EG20" i="4"/>
  <c r="EC20" i="4"/>
  <c r="DY20" i="4"/>
  <c r="DU20" i="4"/>
  <c r="EG19" i="4"/>
  <c r="EC19" i="4"/>
  <c r="DY19" i="4"/>
  <c r="DU19" i="4"/>
  <c r="EG18" i="4"/>
  <c r="EC18" i="4"/>
  <c r="DY18" i="4"/>
  <c r="DU18" i="4"/>
  <c r="EG17" i="4"/>
  <c r="EC17" i="4"/>
  <c r="DY17" i="4"/>
  <c r="DU17" i="4"/>
  <c r="EG16" i="4"/>
  <c r="EC16" i="4"/>
  <c r="DY16" i="4"/>
  <c r="DU16" i="4"/>
  <c r="EG15" i="4"/>
  <c r="EC15" i="4"/>
  <c r="DY15" i="4"/>
  <c r="DU15" i="4"/>
  <c r="EG14" i="4"/>
  <c r="EC14" i="4"/>
  <c r="DY14" i="4"/>
  <c r="DU14" i="4"/>
  <c r="EG13" i="4"/>
  <c r="EC13" i="4"/>
  <c r="DY13" i="4"/>
  <c r="DU13" i="4"/>
  <c r="EG12" i="4"/>
  <c r="EC12" i="4"/>
  <c r="DY12" i="4"/>
  <c r="DU12" i="4"/>
  <c r="EG11" i="4"/>
  <c r="EC11" i="4"/>
  <c r="DY11" i="4"/>
  <c r="DU11" i="4"/>
  <c r="EG10" i="4"/>
  <c r="EC10" i="4"/>
  <c r="DY10" i="4"/>
  <c r="DU10" i="4"/>
  <c r="EG9" i="4"/>
  <c r="EC9" i="4"/>
  <c r="DY9" i="4"/>
  <c r="DU9" i="4"/>
  <c r="EG8" i="4"/>
  <c r="EC8" i="4"/>
  <c r="DY8" i="4"/>
  <c r="DU8" i="4"/>
  <c r="EG7" i="4"/>
  <c r="EC7" i="4"/>
  <c r="DY7" i="4"/>
  <c r="DU7" i="4"/>
  <c r="EG6" i="4"/>
  <c r="EC6" i="4"/>
  <c r="DY6" i="4"/>
  <c r="DU6" i="4"/>
  <c r="EG5" i="4"/>
  <c r="EC5" i="4"/>
  <c r="DY5" i="4"/>
  <c r="DU5" i="4"/>
  <c r="EG4" i="4"/>
  <c r="EC4" i="4"/>
  <c r="DY4" i="4"/>
  <c r="DU4" i="4"/>
  <c r="EG3" i="4"/>
  <c r="EC3" i="4"/>
  <c r="DY3" i="4"/>
  <c r="DU3" i="4"/>
  <c r="EG2" i="4"/>
  <c r="EC2" i="4"/>
  <c r="DY2" i="4"/>
  <c r="DU2" i="4"/>
  <c r="H70" i="4"/>
  <c r="G70" i="4"/>
  <c r="F70" i="4"/>
  <c r="E70" i="4"/>
  <c r="D70" i="4" a="1"/>
  <c r="D70" i="4" s="1"/>
  <c r="C70" i="4"/>
  <c r="B70" i="4"/>
  <c r="H69" i="4"/>
  <c r="G69" i="4"/>
  <c r="F69" i="4"/>
  <c r="E69" i="4"/>
  <c r="D69" i="4" a="1"/>
  <c r="D69" i="4" s="1"/>
  <c r="C69" i="4"/>
  <c r="B69" i="4"/>
  <c r="H68" i="4"/>
  <c r="G68" i="4"/>
  <c r="F68" i="4"/>
  <c r="E68" i="4"/>
  <c r="D68" i="4" a="1"/>
  <c r="D68" i="4"/>
  <c r="C68" i="4"/>
  <c r="B68" i="4"/>
  <c r="H67" i="4"/>
  <c r="G67" i="4"/>
  <c r="F67" i="4"/>
  <c r="E67" i="4"/>
  <c r="D67" i="4" a="1"/>
  <c r="D67" i="4" s="1"/>
  <c r="C67" i="4"/>
  <c r="B67" i="4"/>
  <c r="DL33" i="4" a="1"/>
  <c r="DL33" i="4" s="1"/>
  <c r="DL32" i="4" a="1"/>
  <c r="DL32" i="4" s="1"/>
  <c r="DL31" i="4" a="1"/>
  <c r="DL31" i="4" s="1"/>
  <c r="DL30" i="4" a="1"/>
  <c r="DL30" i="4" s="1"/>
  <c r="DL29" i="4" a="1"/>
  <c r="DL29" i="4" s="1"/>
  <c r="DL28" i="4" a="1"/>
  <c r="DL28" i="4" s="1"/>
  <c r="DL27" i="4" a="1"/>
  <c r="DL27" i="4" s="1"/>
  <c r="DL26" i="4" a="1"/>
  <c r="DL26" i="4" s="1"/>
  <c r="DL25" i="4" a="1"/>
  <c r="DL25" i="4" s="1"/>
  <c r="DL24" i="4" a="1"/>
  <c r="DL24" i="4" s="1"/>
  <c r="DL23" i="4" a="1"/>
  <c r="DL23" i="4" s="1"/>
  <c r="DL22" i="4" a="1"/>
  <c r="DL22" i="4" s="1"/>
  <c r="DL21" i="4" a="1"/>
  <c r="DL21" i="4" s="1"/>
  <c r="DL20" i="4" a="1"/>
  <c r="DL20" i="4" s="1"/>
  <c r="DL19" i="4" a="1"/>
  <c r="DL19" i="4" s="1"/>
  <c r="DL18" i="4" a="1"/>
  <c r="DL18" i="4" s="1"/>
  <c r="DL17" i="4" a="1"/>
  <c r="DL17" i="4" s="1"/>
  <c r="DL16" i="4" a="1"/>
  <c r="DL16" i="4" s="1"/>
  <c r="DL15" i="4" a="1"/>
  <c r="DL15" i="4" s="1"/>
  <c r="DL14" i="4" a="1"/>
  <c r="DL14" i="4" s="1"/>
  <c r="DL13" i="4" a="1"/>
  <c r="DL13" i="4" s="1"/>
  <c r="DL12" i="4" a="1"/>
  <c r="DL12" i="4" s="1"/>
  <c r="DL11" i="4" a="1"/>
  <c r="DL11" i="4" s="1"/>
  <c r="DL10" i="4" a="1"/>
  <c r="DL10" i="4" s="1"/>
  <c r="DL9" i="4" a="1"/>
  <c r="DL9" i="4" s="1"/>
  <c r="DL8" i="4" a="1"/>
  <c r="DL8" i="4" s="1"/>
  <c r="DL7" i="4" a="1"/>
  <c r="DL7" i="4" s="1"/>
  <c r="DL6" i="4" a="1"/>
  <c r="DL6" i="4" s="1"/>
  <c r="DL5" i="4" a="1"/>
  <c r="DL5" i="4" s="1"/>
  <c r="DL4" i="4" a="1"/>
  <c r="DL4" i="4" s="1"/>
  <c r="DL3" i="4" a="1"/>
  <c r="DL3" i="4" s="1"/>
  <c r="DK33" i="4" a="1"/>
  <c r="DK33" i="4" s="1"/>
  <c r="DK32" i="4" a="1"/>
  <c r="DK32" i="4" s="1"/>
  <c r="DK31" i="4" a="1"/>
  <c r="DK31" i="4" s="1"/>
  <c r="DK30" i="4" a="1"/>
  <c r="DK30" i="4" s="1"/>
  <c r="DK29" i="4" a="1"/>
  <c r="DK29" i="4" s="1"/>
  <c r="DK28" i="4" a="1"/>
  <c r="DK28" i="4" s="1"/>
  <c r="DK27" i="4" a="1"/>
  <c r="DK27" i="4" s="1"/>
  <c r="DK26" i="4" a="1"/>
  <c r="DK26" i="4" s="1"/>
  <c r="DK25" i="4" a="1"/>
  <c r="DK25" i="4" s="1"/>
  <c r="DK24" i="4" a="1"/>
  <c r="DK24" i="4" s="1"/>
  <c r="DK23" i="4" a="1"/>
  <c r="DK23" i="4" s="1"/>
  <c r="DK22" i="4" a="1"/>
  <c r="DK22" i="4" s="1"/>
  <c r="DK21" i="4" a="1"/>
  <c r="DK21" i="4" s="1"/>
  <c r="DK20" i="4" a="1"/>
  <c r="DK20" i="4" s="1"/>
  <c r="DK19" i="4" a="1"/>
  <c r="DK19" i="4" s="1"/>
  <c r="DK18" i="4" a="1"/>
  <c r="DK18" i="4" s="1"/>
  <c r="DK17" i="4" a="1"/>
  <c r="DK17" i="4" s="1"/>
  <c r="DK16" i="4" a="1"/>
  <c r="DK16" i="4" s="1"/>
  <c r="DK15" i="4" a="1"/>
  <c r="DK15" i="4" s="1"/>
  <c r="DK14" i="4" a="1"/>
  <c r="DK14" i="4" s="1"/>
  <c r="DK13" i="4" a="1"/>
  <c r="DK13" i="4" s="1"/>
  <c r="DK12" i="4" a="1"/>
  <c r="DK12" i="4" s="1"/>
  <c r="DK11" i="4" a="1"/>
  <c r="DK11" i="4" s="1"/>
  <c r="DK10" i="4" a="1"/>
  <c r="DK10" i="4" s="1"/>
  <c r="DK9" i="4" a="1"/>
  <c r="DK9" i="4" s="1"/>
  <c r="DK8" i="4" a="1"/>
  <c r="DK8" i="4" s="1"/>
  <c r="DK7" i="4" a="1"/>
  <c r="DK7" i="4" s="1"/>
  <c r="DK6" i="4" a="1"/>
  <c r="DK6" i="4" s="1"/>
  <c r="DK5" i="4" a="1"/>
  <c r="DK5" i="4" s="1"/>
  <c r="DK4" i="4" a="1"/>
  <c r="DK4" i="4" s="1"/>
  <c r="DK3" i="4" a="1"/>
  <c r="DK3" i="4" s="1"/>
  <c r="DJ33" i="4"/>
  <c r="DJ32" i="4"/>
  <c r="DJ31" i="4"/>
  <c r="DJ30" i="4"/>
  <c r="DJ29" i="4"/>
  <c r="DJ28" i="4"/>
  <c r="DJ27" i="4"/>
  <c r="DJ26" i="4"/>
  <c r="DJ25" i="4"/>
  <c r="DJ24" i="4"/>
  <c r="DJ23" i="4"/>
  <c r="DJ22" i="4"/>
  <c r="DJ21" i="4"/>
  <c r="DJ20" i="4"/>
  <c r="DJ19" i="4"/>
  <c r="DJ18" i="4"/>
  <c r="DJ17" i="4"/>
  <c r="DJ16" i="4"/>
  <c r="DJ15" i="4"/>
  <c r="DJ14" i="4"/>
  <c r="DJ13" i="4"/>
  <c r="DJ12" i="4"/>
  <c r="DJ11" i="4"/>
  <c r="DJ10" i="4"/>
  <c r="DJ9" i="4"/>
  <c r="DJ8" i="4"/>
  <c r="DJ7" i="4"/>
  <c r="DJ6" i="4"/>
  <c r="DJ5" i="4"/>
  <c r="DJ4" i="4"/>
  <c r="DJ3" i="4"/>
  <c r="DI33" i="4"/>
  <c r="DI32" i="4"/>
  <c r="DI31" i="4"/>
  <c r="DI30" i="4"/>
  <c r="DI29" i="4"/>
  <c r="DI28" i="4"/>
  <c r="DI27" i="4"/>
  <c r="DI26" i="4"/>
  <c r="DI25" i="4"/>
  <c r="DI24" i="4"/>
  <c r="DI23" i="4"/>
  <c r="DI22" i="4"/>
  <c r="DI21" i="4"/>
  <c r="DI20" i="4"/>
  <c r="DI19" i="4"/>
  <c r="DI18" i="4"/>
  <c r="DI17" i="4"/>
  <c r="DI16" i="4"/>
  <c r="DI15" i="4"/>
  <c r="DI14" i="4"/>
  <c r="DI13" i="4"/>
  <c r="DI12" i="4"/>
  <c r="DI11" i="4"/>
  <c r="DI10" i="4"/>
  <c r="DI9" i="4"/>
  <c r="DI8" i="4"/>
  <c r="DI7" i="4"/>
  <c r="DI6" i="4"/>
  <c r="DI5" i="4"/>
  <c r="DI4" i="4"/>
  <c r="DI3" i="4"/>
  <c r="DH33" i="4" a="1"/>
  <c r="DH33" i="4" s="1"/>
  <c r="DH32" i="4" a="1"/>
  <c r="DH32" i="4" s="1"/>
  <c r="DH31" i="4" a="1"/>
  <c r="DH31" i="4" s="1"/>
  <c r="DH30" i="4" a="1"/>
  <c r="DH30" i="4" s="1"/>
  <c r="DH29" i="4" a="1"/>
  <c r="DH29" i="4" s="1"/>
  <c r="DH28" i="4" a="1"/>
  <c r="DH28" i="4" s="1"/>
  <c r="DH27" i="4" a="1"/>
  <c r="DH27" i="4" s="1"/>
  <c r="DH26" i="4" a="1"/>
  <c r="DH26" i="4" s="1"/>
  <c r="DH25" i="4" a="1"/>
  <c r="DH25" i="4" s="1"/>
  <c r="DH24" i="4" a="1"/>
  <c r="DH24" i="4" s="1"/>
  <c r="DH23" i="4" a="1"/>
  <c r="DH23" i="4" s="1"/>
  <c r="DH22" i="4" a="1"/>
  <c r="DH22" i="4" s="1"/>
  <c r="DH21" i="4" a="1"/>
  <c r="DH21" i="4" s="1"/>
  <c r="DH20" i="4" a="1"/>
  <c r="DH20" i="4" s="1"/>
  <c r="DH19" i="4" a="1"/>
  <c r="DH19" i="4" s="1"/>
  <c r="DH18" i="4" a="1"/>
  <c r="DH18" i="4" s="1"/>
  <c r="DH17" i="4" a="1"/>
  <c r="DH17" i="4" s="1"/>
  <c r="DH16" i="4" a="1"/>
  <c r="DH16" i="4" s="1"/>
  <c r="DH15" i="4" a="1"/>
  <c r="DH15" i="4" s="1"/>
  <c r="DH14" i="4" a="1"/>
  <c r="DH14" i="4" s="1"/>
  <c r="DH13" i="4" a="1"/>
  <c r="DH13" i="4" s="1"/>
  <c r="DH12" i="4" a="1"/>
  <c r="DH12" i="4" s="1"/>
  <c r="DH11" i="4" a="1"/>
  <c r="DH11" i="4" s="1"/>
  <c r="DH10" i="4" a="1"/>
  <c r="DH10" i="4" s="1"/>
  <c r="DH9" i="4" a="1"/>
  <c r="DH9" i="4" s="1"/>
  <c r="DH8" i="4" a="1"/>
  <c r="DH8" i="4" s="1"/>
  <c r="DH7" i="4" a="1"/>
  <c r="DH7" i="4" s="1"/>
  <c r="DH6" i="4" a="1"/>
  <c r="DH6" i="4" s="1"/>
  <c r="DH5" i="4" a="1"/>
  <c r="DH5" i="4" s="1"/>
  <c r="DH4" i="4" a="1"/>
  <c r="DH4" i="4" s="1"/>
  <c r="DH3" i="4" a="1"/>
  <c r="DH3" i="4" s="1"/>
  <c r="DG33" i="4" a="1"/>
  <c r="DG33" i="4" s="1"/>
  <c r="DG32" i="4" a="1"/>
  <c r="DG32" i="4" s="1"/>
  <c r="DG31" i="4" a="1"/>
  <c r="DG31" i="4" s="1"/>
  <c r="DG30" i="4" a="1"/>
  <c r="DG30" i="4" s="1"/>
  <c r="DG29" i="4" a="1"/>
  <c r="DG29" i="4" s="1"/>
  <c r="DG28" i="4" a="1"/>
  <c r="DG28" i="4" s="1"/>
  <c r="DG27" i="4" a="1"/>
  <c r="DG27" i="4" s="1"/>
  <c r="DG26" i="4" a="1"/>
  <c r="DG26" i="4" s="1"/>
  <c r="DG25" i="4" a="1"/>
  <c r="DG25" i="4" s="1"/>
  <c r="DG24" i="4" a="1"/>
  <c r="DG24" i="4" s="1"/>
  <c r="DG23" i="4" a="1"/>
  <c r="DG23" i="4" s="1"/>
  <c r="DG22" i="4" a="1"/>
  <c r="DG22" i="4" s="1"/>
  <c r="DG21" i="4" a="1"/>
  <c r="DG21" i="4" s="1"/>
  <c r="DG20" i="4" a="1"/>
  <c r="DG20" i="4" s="1"/>
  <c r="DG19" i="4" a="1"/>
  <c r="DG19" i="4" s="1"/>
  <c r="DG18" i="4" a="1"/>
  <c r="DG18" i="4" s="1"/>
  <c r="DG17" i="4" a="1"/>
  <c r="DG17" i="4" s="1"/>
  <c r="DG16" i="4" a="1"/>
  <c r="DG16" i="4" s="1"/>
  <c r="DG15" i="4" a="1"/>
  <c r="DG15" i="4" s="1"/>
  <c r="DG14" i="4" a="1"/>
  <c r="DG14" i="4" s="1"/>
  <c r="DG13" i="4" a="1"/>
  <c r="DG13" i="4" s="1"/>
  <c r="DG12" i="4" a="1"/>
  <c r="DG12" i="4" s="1"/>
  <c r="DG11" i="4" a="1"/>
  <c r="DG11" i="4" s="1"/>
  <c r="DG10" i="4" a="1"/>
  <c r="DG10" i="4" s="1"/>
  <c r="DG9" i="4" a="1"/>
  <c r="DG9" i="4" s="1"/>
  <c r="DG8" i="4" a="1"/>
  <c r="DG8" i="4" s="1"/>
  <c r="DG7" i="4" a="1"/>
  <c r="DG7" i="4" s="1"/>
  <c r="DG6" i="4" a="1"/>
  <c r="DG6" i="4" s="1"/>
  <c r="DG5" i="4" a="1"/>
  <c r="DG5" i="4" s="1"/>
  <c r="DG4" i="4" a="1"/>
  <c r="DG4" i="4" s="1"/>
  <c r="DG3" i="4" a="1"/>
  <c r="DG3" i="4" s="1"/>
  <c r="DF33" i="4"/>
  <c r="DF32" i="4"/>
  <c r="DF31" i="4"/>
  <c r="DF30" i="4"/>
  <c r="DF29" i="4"/>
  <c r="DF28" i="4"/>
  <c r="DF27" i="4"/>
  <c r="DF26" i="4"/>
  <c r="DF25" i="4"/>
  <c r="DF24" i="4"/>
  <c r="DF23" i="4"/>
  <c r="DF22" i="4"/>
  <c r="DF21" i="4"/>
  <c r="DF20" i="4"/>
  <c r="DF19" i="4"/>
  <c r="DF18" i="4"/>
  <c r="DF17" i="4"/>
  <c r="DF16" i="4"/>
  <c r="DF15" i="4"/>
  <c r="DF14" i="4"/>
  <c r="DF13" i="4"/>
  <c r="DF12" i="4"/>
  <c r="DF11" i="4"/>
  <c r="DF10" i="4"/>
  <c r="DF9" i="4"/>
  <c r="DF8" i="4"/>
  <c r="DF7" i="4"/>
  <c r="DF6" i="4"/>
  <c r="DF5" i="4"/>
  <c r="DF4" i="4"/>
  <c r="DF3" i="4"/>
  <c r="DE33" i="4"/>
  <c r="DE32" i="4"/>
  <c r="DE31" i="4"/>
  <c r="DE30" i="4"/>
  <c r="DE29" i="4"/>
  <c r="DE28" i="4"/>
  <c r="DE27" i="4"/>
  <c r="DE26" i="4"/>
  <c r="DE25" i="4"/>
  <c r="DE24" i="4"/>
  <c r="DE23" i="4"/>
  <c r="DE22" i="4"/>
  <c r="DE21" i="4"/>
  <c r="DE20" i="4"/>
  <c r="DE19" i="4"/>
  <c r="DE18" i="4"/>
  <c r="DE17" i="4"/>
  <c r="DE16" i="4"/>
  <c r="DE15" i="4"/>
  <c r="DE14" i="4"/>
  <c r="DE13" i="4"/>
  <c r="DE12" i="4"/>
  <c r="DE11" i="4"/>
  <c r="DE10" i="4"/>
  <c r="DE9" i="4"/>
  <c r="DE8" i="4"/>
  <c r="DE7" i="4"/>
  <c r="DE6" i="4"/>
  <c r="DE5" i="4"/>
  <c r="DE4" i="4"/>
  <c r="DE3" i="4"/>
  <c r="DD33" i="4" a="1"/>
  <c r="DD33" i="4" s="1"/>
  <c r="DD32" i="4" a="1"/>
  <c r="DD32" i="4" s="1"/>
  <c r="DD31" i="4" a="1"/>
  <c r="DD31" i="4" s="1"/>
  <c r="DD30" i="4" a="1"/>
  <c r="DD30" i="4" s="1"/>
  <c r="DD29" i="4" a="1"/>
  <c r="DD29" i="4" s="1"/>
  <c r="DD28" i="4" a="1"/>
  <c r="DD28" i="4" s="1"/>
  <c r="DD27" i="4" a="1"/>
  <c r="DD27" i="4" s="1"/>
  <c r="DD26" i="4" a="1"/>
  <c r="DD26" i="4" s="1"/>
  <c r="DD25" i="4" a="1"/>
  <c r="DD25" i="4" s="1"/>
  <c r="DD24" i="4" a="1"/>
  <c r="DD24" i="4" s="1"/>
  <c r="DD23" i="4" a="1"/>
  <c r="DD23" i="4" s="1"/>
  <c r="DD22" i="4" a="1"/>
  <c r="DD22" i="4" s="1"/>
  <c r="DD21" i="4" a="1"/>
  <c r="DD21" i="4" s="1"/>
  <c r="DD20" i="4" a="1"/>
  <c r="DD20" i="4" s="1"/>
  <c r="DD19" i="4" a="1"/>
  <c r="DD19" i="4" s="1"/>
  <c r="DD18" i="4" a="1"/>
  <c r="DD18" i="4" s="1"/>
  <c r="DD17" i="4" a="1"/>
  <c r="DD17" i="4" s="1"/>
  <c r="DD16" i="4" a="1"/>
  <c r="DD16" i="4" s="1"/>
  <c r="DD15" i="4" a="1"/>
  <c r="DD15" i="4" s="1"/>
  <c r="DD14" i="4" a="1"/>
  <c r="DD14" i="4" s="1"/>
  <c r="DD13" i="4" a="1"/>
  <c r="DD13" i="4" s="1"/>
  <c r="DD12" i="4" a="1"/>
  <c r="DD12" i="4" s="1"/>
  <c r="DD11" i="4" a="1"/>
  <c r="DD11" i="4" s="1"/>
  <c r="DD10" i="4" a="1"/>
  <c r="DD10" i="4" s="1"/>
  <c r="DD9" i="4" a="1"/>
  <c r="DD9" i="4" s="1"/>
  <c r="DD8" i="4" a="1"/>
  <c r="DD8" i="4" s="1"/>
  <c r="DD7" i="4" a="1"/>
  <c r="DD7" i="4" s="1"/>
  <c r="DD6" i="4" a="1"/>
  <c r="DD6" i="4" s="1"/>
  <c r="DD5" i="4" a="1"/>
  <c r="DD5" i="4" s="1"/>
  <c r="DD4" i="4" a="1"/>
  <c r="DD4" i="4" s="1"/>
  <c r="DD3" i="4" a="1"/>
  <c r="DD3" i="4" s="1"/>
  <c r="DC33" i="4" a="1"/>
  <c r="DC33" i="4" s="1"/>
  <c r="DC32" i="4" a="1"/>
  <c r="DC32" i="4" s="1"/>
  <c r="DC31" i="4" a="1"/>
  <c r="DC31" i="4" s="1"/>
  <c r="DC30" i="4" a="1"/>
  <c r="DC30" i="4" s="1"/>
  <c r="DC29" i="4" a="1"/>
  <c r="DC29" i="4" s="1"/>
  <c r="DC28" i="4" a="1"/>
  <c r="DC28" i="4" s="1"/>
  <c r="DC27" i="4" a="1"/>
  <c r="DC27" i="4" s="1"/>
  <c r="DC26" i="4" a="1"/>
  <c r="DC26" i="4" s="1"/>
  <c r="DC25" i="4" a="1"/>
  <c r="DC25" i="4" s="1"/>
  <c r="DC24" i="4" a="1"/>
  <c r="DC24" i="4" s="1"/>
  <c r="DC23" i="4" a="1"/>
  <c r="DC23" i="4" s="1"/>
  <c r="DC22" i="4" a="1"/>
  <c r="DC22" i="4" s="1"/>
  <c r="DC21" i="4" a="1"/>
  <c r="DC21" i="4" s="1"/>
  <c r="DC20" i="4" a="1"/>
  <c r="DC20" i="4" s="1"/>
  <c r="DC19" i="4" a="1"/>
  <c r="DC19" i="4" s="1"/>
  <c r="DC18" i="4" a="1"/>
  <c r="DC18" i="4" s="1"/>
  <c r="DC17" i="4" a="1"/>
  <c r="DC17" i="4" s="1"/>
  <c r="DC16" i="4" a="1"/>
  <c r="DC16" i="4" s="1"/>
  <c r="DC15" i="4" a="1"/>
  <c r="DC15" i="4" s="1"/>
  <c r="DC14" i="4" a="1"/>
  <c r="DC14" i="4" s="1"/>
  <c r="DC13" i="4" a="1"/>
  <c r="DC13" i="4" s="1"/>
  <c r="DC12" i="4" a="1"/>
  <c r="DC12" i="4" s="1"/>
  <c r="DC11" i="4" a="1"/>
  <c r="DC11" i="4" s="1"/>
  <c r="DC10" i="4" a="1"/>
  <c r="DC10" i="4" s="1"/>
  <c r="DC9" i="4" a="1"/>
  <c r="DC9" i="4" s="1"/>
  <c r="DC8" i="4" a="1"/>
  <c r="DC8" i="4" s="1"/>
  <c r="DC7" i="4" a="1"/>
  <c r="DC7" i="4" s="1"/>
  <c r="DC6" i="4" a="1"/>
  <c r="DC6" i="4" s="1"/>
  <c r="DC5" i="4" a="1"/>
  <c r="DC5" i="4" s="1"/>
  <c r="DC4" i="4" a="1"/>
  <c r="DC4" i="4" s="1"/>
  <c r="DC3" i="4" a="1"/>
  <c r="DC3" i="4" s="1"/>
  <c r="DB33" i="4"/>
  <c r="DB32" i="4"/>
  <c r="DB31" i="4"/>
  <c r="DB30" i="4"/>
  <c r="DB29" i="4"/>
  <c r="DB28" i="4"/>
  <c r="DB27" i="4"/>
  <c r="DB26" i="4"/>
  <c r="DB25" i="4"/>
  <c r="DB24" i="4"/>
  <c r="DB23" i="4"/>
  <c r="DB22" i="4"/>
  <c r="DB21" i="4"/>
  <c r="DB20" i="4"/>
  <c r="DB19" i="4"/>
  <c r="DB18" i="4"/>
  <c r="DB17" i="4"/>
  <c r="DB16" i="4"/>
  <c r="DB15" i="4"/>
  <c r="DB14" i="4"/>
  <c r="DB13" i="4"/>
  <c r="DB12" i="4"/>
  <c r="DB11" i="4"/>
  <c r="DB10" i="4"/>
  <c r="DB9" i="4"/>
  <c r="DB8" i="4"/>
  <c r="DB7" i="4"/>
  <c r="DB6" i="4"/>
  <c r="DB5" i="4"/>
  <c r="DB4" i="4"/>
  <c r="DB3" i="4"/>
  <c r="DA33" i="4"/>
  <c r="DA32" i="4"/>
  <c r="DA31" i="4"/>
  <c r="DA30" i="4"/>
  <c r="DA29" i="4"/>
  <c r="DA28" i="4"/>
  <c r="DA27" i="4"/>
  <c r="DA26" i="4"/>
  <c r="DA25" i="4"/>
  <c r="DA24" i="4"/>
  <c r="DA23" i="4"/>
  <c r="DA22" i="4"/>
  <c r="DA21" i="4"/>
  <c r="DA20" i="4"/>
  <c r="DA19" i="4"/>
  <c r="DA18" i="4"/>
  <c r="DA17" i="4"/>
  <c r="DA16" i="4"/>
  <c r="DA15" i="4"/>
  <c r="DA14" i="4"/>
  <c r="DA13" i="4"/>
  <c r="DA12" i="4"/>
  <c r="DA11" i="4"/>
  <c r="DA10" i="4"/>
  <c r="DA9" i="4"/>
  <c r="DA8" i="4"/>
  <c r="DA7" i="4"/>
  <c r="DA6" i="4"/>
  <c r="DA5" i="4"/>
  <c r="DA4" i="4"/>
  <c r="DA3" i="4"/>
  <c r="CZ33" i="4" a="1"/>
  <c r="CZ33" i="4" s="1"/>
  <c r="CZ32" i="4" a="1"/>
  <c r="CZ32" i="4" s="1"/>
  <c r="CZ31" i="4" a="1"/>
  <c r="CZ31" i="4" s="1"/>
  <c r="CZ30" i="4" a="1"/>
  <c r="CZ30" i="4" s="1"/>
  <c r="CZ29" i="4" a="1"/>
  <c r="CZ29" i="4" s="1"/>
  <c r="CZ28" i="4" a="1"/>
  <c r="CZ28" i="4" s="1"/>
  <c r="CZ27" i="4" a="1"/>
  <c r="CZ27" i="4" s="1"/>
  <c r="CZ26" i="4" a="1"/>
  <c r="CZ26" i="4" s="1"/>
  <c r="CZ25" i="4" a="1"/>
  <c r="CZ25" i="4" s="1"/>
  <c r="CZ24" i="4" a="1"/>
  <c r="CZ24" i="4" s="1"/>
  <c r="CZ23" i="4" a="1"/>
  <c r="CZ23" i="4" s="1"/>
  <c r="CZ22" i="4" a="1"/>
  <c r="CZ22" i="4" s="1"/>
  <c r="CZ21" i="4" a="1"/>
  <c r="CZ21" i="4" s="1"/>
  <c r="CZ20" i="4" a="1"/>
  <c r="CZ20" i="4" s="1"/>
  <c r="CZ19" i="4" a="1"/>
  <c r="CZ19" i="4" s="1"/>
  <c r="CZ18" i="4" a="1"/>
  <c r="CZ18" i="4" s="1"/>
  <c r="CZ17" i="4" a="1"/>
  <c r="CZ17" i="4" s="1"/>
  <c r="CZ16" i="4" a="1"/>
  <c r="CZ16" i="4" s="1"/>
  <c r="CZ15" i="4" a="1"/>
  <c r="CZ15" i="4" s="1"/>
  <c r="CZ14" i="4" a="1"/>
  <c r="CZ14" i="4" s="1"/>
  <c r="CZ13" i="4" a="1"/>
  <c r="CZ13" i="4" s="1"/>
  <c r="CZ12" i="4" a="1"/>
  <c r="CZ12" i="4" s="1"/>
  <c r="CZ11" i="4" a="1"/>
  <c r="CZ11" i="4" s="1"/>
  <c r="CZ10" i="4" a="1"/>
  <c r="CZ10" i="4" s="1"/>
  <c r="CZ9" i="4" a="1"/>
  <c r="CZ9" i="4" s="1"/>
  <c r="CZ8" i="4" a="1"/>
  <c r="CZ8" i="4" s="1"/>
  <c r="CZ7" i="4" a="1"/>
  <c r="CZ7" i="4" s="1"/>
  <c r="CZ6" i="4" a="1"/>
  <c r="CZ6" i="4" s="1"/>
  <c r="CZ5" i="4" a="1"/>
  <c r="CZ5" i="4" s="1"/>
  <c r="CZ4" i="4" a="1"/>
  <c r="CZ4" i="4" s="1"/>
  <c r="CZ3" i="4" a="1"/>
  <c r="CZ3" i="4" s="1"/>
  <c r="CY33" i="4"/>
  <c r="CY33" i="4" a="1"/>
  <c r="CY32" i="4" a="1"/>
  <c r="CY32" i="4" s="1"/>
  <c r="CY31" i="4" a="1"/>
  <c r="CY31" i="4" s="1"/>
  <c r="CY30" i="4" a="1"/>
  <c r="CY30" i="4" s="1"/>
  <c r="CY29" i="4" a="1"/>
  <c r="CY29" i="4" s="1"/>
  <c r="CY28" i="4" a="1"/>
  <c r="CY28" i="4" s="1"/>
  <c r="CY27" i="4"/>
  <c r="CY27" i="4" a="1"/>
  <c r="CY26" i="4" a="1"/>
  <c r="CY26" i="4" s="1"/>
  <c r="CY25" i="4" a="1"/>
  <c r="CY25" i="4" s="1"/>
  <c r="CY24" i="4" a="1"/>
  <c r="CY24" i="4" s="1"/>
  <c r="CY23" i="4" a="1"/>
  <c r="CY23" i="4" s="1"/>
  <c r="CY22" i="4" a="1"/>
  <c r="CY22" i="4" s="1"/>
  <c r="CY21" i="4"/>
  <c r="CY21" i="4" a="1"/>
  <c r="CY20" i="4" a="1"/>
  <c r="CY20" i="4" s="1"/>
  <c r="CY19" i="4" a="1"/>
  <c r="CY19" i="4" s="1"/>
  <c r="CY18" i="4" a="1"/>
  <c r="CY18" i="4" s="1"/>
  <c r="CY17" i="4" a="1"/>
  <c r="CY17" i="4" s="1"/>
  <c r="CY16" i="4" a="1"/>
  <c r="CY16" i="4" s="1"/>
  <c r="CY15" i="4" a="1"/>
  <c r="CY15" i="4" s="1"/>
  <c r="CY14" i="4" a="1"/>
  <c r="CY14" i="4" s="1"/>
  <c r="CY13" i="4" a="1"/>
  <c r="CY13" i="4" s="1"/>
  <c r="CY12" i="4" a="1"/>
  <c r="CY12" i="4" s="1"/>
  <c r="CY11" i="4" a="1"/>
  <c r="CY11" i="4" s="1"/>
  <c r="CY10" i="4" a="1"/>
  <c r="CY10" i="4" s="1"/>
  <c r="CY9" i="4" a="1"/>
  <c r="CY9" i="4" s="1"/>
  <c r="CY8" i="4" a="1"/>
  <c r="CY8" i="4" s="1"/>
  <c r="CY7" i="4" a="1"/>
  <c r="CY7" i="4" s="1"/>
  <c r="CY6" i="4" a="1"/>
  <c r="CY6" i="4" s="1"/>
  <c r="CY5" i="4" a="1"/>
  <c r="CY5" i="4" s="1"/>
  <c r="CY4" i="4" a="1"/>
  <c r="CY4" i="4" s="1"/>
  <c r="CY3" i="4" a="1"/>
  <c r="CY3" i="4" s="1"/>
  <c r="CX33" i="4"/>
  <c r="CX32" i="4"/>
  <c r="CX31" i="4"/>
  <c r="CX30" i="4"/>
  <c r="CX29" i="4"/>
  <c r="CX28" i="4"/>
  <c r="CX27" i="4"/>
  <c r="CX26" i="4"/>
  <c r="CX25" i="4"/>
  <c r="CX24" i="4"/>
  <c r="CX23" i="4"/>
  <c r="CX22" i="4"/>
  <c r="CX21" i="4"/>
  <c r="CX20" i="4"/>
  <c r="CX19" i="4"/>
  <c r="CX18" i="4"/>
  <c r="CX17" i="4"/>
  <c r="CX16" i="4"/>
  <c r="CX15" i="4"/>
  <c r="CX14" i="4"/>
  <c r="CX13" i="4"/>
  <c r="CX12" i="4"/>
  <c r="CX11" i="4"/>
  <c r="CX10" i="4"/>
  <c r="CX9" i="4"/>
  <c r="CX8" i="4"/>
  <c r="CX7" i="4"/>
  <c r="CX6" i="4"/>
  <c r="CX5" i="4"/>
  <c r="CX4" i="4"/>
  <c r="CX3" i="4"/>
  <c r="CW33" i="4"/>
  <c r="CW32" i="4"/>
  <c r="CW31" i="4"/>
  <c r="CW30" i="4"/>
  <c r="CW29" i="4"/>
  <c r="CW28" i="4"/>
  <c r="CW27" i="4"/>
  <c r="CW26" i="4"/>
  <c r="CW25" i="4"/>
  <c r="CW24" i="4"/>
  <c r="CW23" i="4"/>
  <c r="CW22" i="4"/>
  <c r="CW21" i="4"/>
  <c r="CW20" i="4"/>
  <c r="CW19" i="4"/>
  <c r="CW18" i="4"/>
  <c r="CW17" i="4"/>
  <c r="CW16" i="4"/>
  <c r="CW15" i="4"/>
  <c r="CW14" i="4"/>
  <c r="CW13" i="4"/>
  <c r="CW12" i="4"/>
  <c r="CW11" i="4"/>
  <c r="CW10" i="4"/>
  <c r="CW9" i="4"/>
  <c r="CW8" i="4"/>
  <c r="CW7" i="4"/>
  <c r="CW6" i="4"/>
  <c r="CW5" i="4"/>
  <c r="CW4" i="4"/>
  <c r="CW3" i="4"/>
  <c r="DL2" i="4" a="1"/>
  <c r="DL2" i="4" s="1"/>
  <c r="DK2" i="4" a="1"/>
  <c r="DK2" i="4" s="1"/>
  <c r="DJ2" i="4"/>
  <c r="DH2" i="4" a="1"/>
  <c r="DH2" i="4" s="1"/>
  <c r="DG2" i="4" a="1"/>
  <c r="DG2" i="4" s="1"/>
  <c r="DF2" i="4"/>
  <c r="DD2" i="4" a="1"/>
  <c r="DD2" i="4" s="1"/>
  <c r="DC2" i="4" a="1"/>
  <c r="DC2" i="4" s="1"/>
  <c r="DB2" i="4"/>
  <c r="CZ2" i="4" a="1"/>
  <c r="CZ2" i="4" s="1"/>
  <c r="CY2" i="4" a="1"/>
  <c r="CY2" i="4" s="1"/>
  <c r="CX2" i="4"/>
  <c r="DI2" i="4"/>
  <c r="DE2" i="4"/>
  <c r="DA2" i="4"/>
  <c r="CW2" i="4"/>
  <c r="H66" i="4"/>
  <c r="G66" i="4"/>
  <c r="F66" i="4"/>
  <c r="E66" i="4"/>
  <c r="D66" i="4" a="1"/>
  <c r="D66" i="4" s="1"/>
  <c r="C66" i="4"/>
  <c r="B66" i="4"/>
  <c r="H65" i="4"/>
  <c r="G65" i="4"/>
  <c r="F65" i="4"/>
  <c r="E65" i="4"/>
  <c r="D65" i="4" a="1"/>
  <c r="D65" i="4" s="1"/>
  <c r="C65" i="4"/>
  <c r="B65" i="4"/>
  <c r="H60" i="4"/>
  <c r="G60" i="4"/>
  <c r="F60" i="4"/>
  <c r="E60" i="4"/>
  <c r="D60" i="4" a="1"/>
  <c r="D60" i="4" s="1"/>
  <c r="C60" i="4"/>
  <c r="B60" i="4"/>
  <c r="DT33" i="4" a="1"/>
  <c r="DT33" i="4" s="1"/>
  <c r="DS33" i="4" a="1"/>
  <c r="DS33" i="4" s="1"/>
  <c r="DR33" i="4"/>
  <c r="DQ33" i="4"/>
  <c r="DQ32" i="4"/>
  <c r="DT32" i="4" s="1" a="1"/>
  <c r="DT32" i="4" s="1"/>
  <c r="DT31" i="4" a="1"/>
  <c r="DT31" i="4" s="1"/>
  <c r="DS31" i="4" a="1"/>
  <c r="DS31" i="4" s="1"/>
  <c r="DR31" i="4"/>
  <c r="DQ31" i="4"/>
  <c r="DQ30" i="4"/>
  <c r="DT30" i="4" s="1" a="1"/>
  <c r="DT30" i="4" s="1"/>
  <c r="DT29" i="4" a="1"/>
  <c r="DT29" i="4" s="1"/>
  <c r="DS29" i="4" a="1"/>
  <c r="DS29" i="4" s="1"/>
  <c r="DR29" i="4"/>
  <c r="DQ29" i="4"/>
  <c r="DQ28" i="4"/>
  <c r="DT28" i="4" s="1" a="1"/>
  <c r="DT28" i="4" s="1"/>
  <c r="DT27" i="4" a="1"/>
  <c r="DT27" i="4" s="1"/>
  <c r="DS27" i="4" a="1"/>
  <c r="DS27" i="4" s="1"/>
  <c r="DR27" i="4"/>
  <c r="DQ27" i="4"/>
  <c r="DQ26" i="4"/>
  <c r="DT26" i="4" s="1" a="1"/>
  <c r="DT26" i="4" s="1"/>
  <c r="DT25" i="4" a="1"/>
  <c r="DT25" i="4" s="1"/>
  <c r="DS25" i="4" a="1"/>
  <c r="DS25" i="4" s="1"/>
  <c r="DR25" i="4"/>
  <c r="DQ25" i="4"/>
  <c r="DQ24" i="4"/>
  <c r="DR24" i="4" s="1"/>
  <c r="DT23" i="4" a="1"/>
  <c r="DT23" i="4" s="1"/>
  <c r="DS23" i="4" a="1"/>
  <c r="DS23" i="4" s="1"/>
  <c r="DR23" i="4"/>
  <c r="DQ23" i="4"/>
  <c r="DQ22" i="4"/>
  <c r="DR22" i="4" s="1"/>
  <c r="DT21" i="4" a="1"/>
  <c r="DT21" i="4" s="1"/>
  <c r="DS21" i="4" a="1"/>
  <c r="DS21" i="4" s="1"/>
  <c r="DR21" i="4"/>
  <c r="DQ21" i="4"/>
  <c r="DQ20" i="4"/>
  <c r="DT20" i="4" s="1" a="1"/>
  <c r="DT20" i="4" s="1"/>
  <c r="DT19" i="4" a="1"/>
  <c r="DT19" i="4" s="1"/>
  <c r="DS19" i="4" a="1"/>
  <c r="DS19" i="4" s="1"/>
  <c r="DR19" i="4"/>
  <c r="DQ19" i="4"/>
  <c r="DQ18" i="4"/>
  <c r="DT18" i="4" s="1" a="1"/>
  <c r="DT18" i="4" s="1"/>
  <c r="DT17" i="4" a="1"/>
  <c r="DT17" i="4" s="1"/>
  <c r="DS17" i="4" a="1"/>
  <c r="DS17" i="4" s="1"/>
  <c r="DR17" i="4"/>
  <c r="DQ17" i="4"/>
  <c r="DQ16" i="4"/>
  <c r="DT16" i="4" s="1" a="1"/>
  <c r="DT16" i="4" s="1"/>
  <c r="DT15" i="4" a="1"/>
  <c r="DT15" i="4" s="1"/>
  <c r="DS15" i="4" a="1"/>
  <c r="DS15" i="4" s="1"/>
  <c r="DR15" i="4"/>
  <c r="DQ15" i="4"/>
  <c r="DQ14" i="4"/>
  <c r="DT14" i="4" s="1" a="1"/>
  <c r="DT14" i="4" s="1"/>
  <c r="DT13" i="4" a="1"/>
  <c r="DT13" i="4" s="1"/>
  <c r="DS13" i="4" a="1"/>
  <c r="DS13" i="4" s="1"/>
  <c r="DR13" i="4"/>
  <c r="DQ13" i="4"/>
  <c r="DQ12" i="4"/>
  <c r="DT12" i="4" s="1" a="1"/>
  <c r="DT12" i="4" s="1"/>
  <c r="DT11" i="4" a="1"/>
  <c r="DT11" i="4" s="1"/>
  <c r="DS11" i="4" a="1"/>
  <c r="DS11" i="4" s="1"/>
  <c r="DR11" i="4"/>
  <c r="DQ11" i="4"/>
  <c r="DQ10" i="4"/>
  <c r="DT10" i="4" s="1" a="1"/>
  <c r="DT10" i="4" s="1"/>
  <c r="DT9" i="4" a="1"/>
  <c r="DT9" i="4" s="1"/>
  <c r="DS9" i="4" a="1"/>
  <c r="DS9" i="4" s="1"/>
  <c r="DR9" i="4"/>
  <c r="DQ9" i="4"/>
  <c r="DQ8" i="4"/>
  <c r="DT8" i="4" s="1" a="1"/>
  <c r="DT8" i="4" s="1"/>
  <c r="DT7" i="4" a="1"/>
  <c r="DT7" i="4" s="1"/>
  <c r="DS7" i="4" a="1"/>
  <c r="DS7" i="4" s="1"/>
  <c r="DR7" i="4"/>
  <c r="DQ7" i="4"/>
  <c r="DQ6" i="4"/>
  <c r="DT6" i="4" s="1" a="1"/>
  <c r="DT6" i="4" s="1"/>
  <c r="DT5" i="4" a="1"/>
  <c r="DT5" i="4" s="1"/>
  <c r="DS5" i="4" a="1"/>
  <c r="DS5" i="4" s="1"/>
  <c r="DR5" i="4"/>
  <c r="DQ5" i="4"/>
  <c r="DQ4" i="4"/>
  <c r="DT4" i="4" s="1" a="1"/>
  <c r="DT4" i="4" s="1"/>
  <c r="DT3" i="4" a="1"/>
  <c r="DT3" i="4" s="1"/>
  <c r="DS3" i="4" a="1"/>
  <c r="DS3" i="4" s="1"/>
  <c r="DR3" i="4"/>
  <c r="DQ3" i="4"/>
  <c r="DT2" i="4" a="1"/>
  <c r="DT2" i="4" s="1"/>
  <c r="DS2" i="4" a="1"/>
  <c r="DS2" i="4" s="1"/>
  <c r="DR2" i="4"/>
  <c r="DQ2" i="4"/>
  <c r="DM33" i="4"/>
  <c r="DP33" i="4" s="1" a="1"/>
  <c r="DP33" i="4" s="1"/>
  <c r="DP32" i="4" a="1"/>
  <c r="DP32" i="4" s="1"/>
  <c r="DN32" i="4"/>
  <c r="DM32" i="4"/>
  <c r="DO32" i="4" s="1" a="1"/>
  <c r="DO32" i="4" s="1"/>
  <c r="DM31" i="4"/>
  <c r="DP31" i="4" s="1" a="1"/>
  <c r="DP31" i="4" s="1"/>
  <c r="DP30" i="4" a="1"/>
  <c r="DP30" i="4" s="1"/>
  <c r="DN30" i="4"/>
  <c r="DM30" i="4"/>
  <c r="DO30" i="4" s="1" a="1"/>
  <c r="DO30" i="4" s="1"/>
  <c r="DM29" i="4"/>
  <c r="DP29" i="4" s="1" a="1"/>
  <c r="DP29" i="4" s="1"/>
  <c r="DP28" i="4" a="1"/>
  <c r="DP28" i="4" s="1"/>
  <c r="DN28" i="4"/>
  <c r="DM28" i="4"/>
  <c r="DO28" i="4" s="1" a="1"/>
  <c r="DO28" i="4" s="1"/>
  <c r="DM27" i="4"/>
  <c r="DP27" i="4" s="1" a="1"/>
  <c r="DP27" i="4" s="1"/>
  <c r="DP26" i="4" a="1"/>
  <c r="DP26" i="4" s="1"/>
  <c r="DN26" i="4"/>
  <c r="DM26" i="4"/>
  <c r="DO26" i="4" s="1" a="1"/>
  <c r="DO26" i="4" s="1"/>
  <c r="DM25" i="4"/>
  <c r="DP25" i="4" s="1" a="1"/>
  <c r="DP25" i="4" s="1"/>
  <c r="DP24" i="4" a="1"/>
  <c r="DP24" i="4" s="1"/>
  <c r="DN24" i="4"/>
  <c r="DM24" i="4"/>
  <c r="DO24" i="4" s="1" a="1"/>
  <c r="DO24" i="4" s="1"/>
  <c r="DM23" i="4"/>
  <c r="DP23" i="4" s="1" a="1"/>
  <c r="DP23" i="4" s="1"/>
  <c r="DP22" i="4" a="1"/>
  <c r="DP22" i="4" s="1"/>
  <c r="DN22" i="4"/>
  <c r="DM22" i="4"/>
  <c r="DO22" i="4" s="1" a="1"/>
  <c r="DO22" i="4" s="1"/>
  <c r="DM21" i="4"/>
  <c r="DP21" i="4" s="1" a="1"/>
  <c r="DP21" i="4" s="1"/>
  <c r="DP20" i="4" a="1"/>
  <c r="DP20" i="4" s="1"/>
  <c r="DN20" i="4"/>
  <c r="DM20" i="4"/>
  <c r="DO20" i="4" s="1" a="1"/>
  <c r="DO20" i="4" s="1"/>
  <c r="DM19" i="4"/>
  <c r="DP19" i="4" s="1" a="1"/>
  <c r="DP19" i="4" s="1"/>
  <c r="DP18" i="4" a="1"/>
  <c r="DP18" i="4" s="1"/>
  <c r="DN18" i="4"/>
  <c r="DM18" i="4"/>
  <c r="DO18" i="4" s="1" a="1"/>
  <c r="DO18" i="4" s="1"/>
  <c r="DM17" i="4"/>
  <c r="DP17" i="4" s="1" a="1"/>
  <c r="DP17" i="4" s="1"/>
  <c r="DP16" i="4" a="1"/>
  <c r="DP16" i="4" s="1"/>
  <c r="DN16" i="4"/>
  <c r="DM16" i="4"/>
  <c r="DO16" i="4" s="1" a="1"/>
  <c r="DO16" i="4" s="1"/>
  <c r="DM15" i="4"/>
  <c r="DP15" i="4" s="1" a="1"/>
  <c r="DP15" i="4" s="1"/>
  <c r="DP14" i="4" a="1"/>
  <c r="DP14" i="4" s="1"/>
  <c r="DN14" i="4"/>
  <c r="DM14" i="4"/>
  <c r="DO14" i="4" s="1" a="1"/>
  <c r="DO14" i="4" s="1"/>
  <c r="DM13" i="4"/>
  <c r="DP13" i="4" s="1" a="1"/>
  <c r="DP13" i="4" s="1"/>
  <c r="DP12" i="4" a="1"/>
  <c r="DP12" i="4" s="1"/>
  <c r="DN12" i="4"/>
  <c r="DM12" i="4"/>
  <c r="DO12" i="4" s="1" a="1"/>
  <c r="DO12" i="4" s="1"/>
  <c r="DM11" i="4"/>
  <c r="DP11" i="4" s="1" a="1"/>
  <c r="DP11" i="4" s="1"/>
  <c r="DP10" i="4" a="1"/>
  <c r="DP10" i="4" s="1"/>
  <c r="DN10" i="4"/>
  <c r="DM10" i="4"/>
  <c r="DO10" i="4" s="1" a="1"/>
  <c r="DO10" i="4" s="1"/>
  <c r="DM9" i="4"/>
  <c r="DP9" i="4" s="1" a="1"/>
  <c r="DP9" i="4" s="1"/>
  <c r="DP8" i="4" a="1"/>
  <c r="DP8" i="4" s="1"/>
  <c r="DN8" i="4"/>
  <c r="DM8" i="4"/>
  <c r="DO8" i="4" s="1" a="1"/>
  <c r="DO8" i="4" s="1"/>
  <c r="DM7" i="4"/>
  <c r="DP7" i="4" s="1" a="1"/>
  <c r="DP7" i="4" s="1"/>
  <c r="DP6" i="4" a="1"/>
  <c r="DP6" i="4" s="1"/>
  <c r="DN6" i="4"/>
  <c r="DM6" i="4"/>
  <c r="DO6" i="4" s="1" a="1"/>
  <c r="DO6" i="4" s="1"/>
  <c r="DM5" i="4"/>
  <c r="DP5" i="4" s="1" a="1"/>
  <c r="DP5" i="4" s="1"/>
  <c r="DP4" i="4" a="1"/>
  <c r="DP4" i="4" s="1"/>
  <c r="DN4" i="4"/>
  <c r="DM4" i="4"/>
  <c r="DO4" i="4" s="1" a="1"/>
  <c r="DO4" i="4" s="1"/>
  <c r="DM3" i="4"/>
  <c r="DP3" i="4" s="1" a="1"/>
  <c r="DP3" i="4" s="1"/>
  <c r="DP2" i="4" a="1"/>
  <c r="DP2" i="4" s="1"/>
  <c r="DO2" i="4" a="1"/>
  <c r="DO2" i="4" s="1"/>
  <c r="DN2" i="4"/>
  <c r="DM2" i="4"/>
  <c r="CV33" i="4" a="1"/>
  <c r="CV33" i="4" s="1"/>
  <c r="CU33" i="4" a="1"/>
  <c r="CU33" i="4" s="1"/>
  <c r="CS33" i="4"/>
  <c r="CT33" i="4" s="1"/>
  <c r="CS32" i="4"/>
  <c r="CV31" i="4" a="1"/>
  <c r="CV31" i="4" s="1"/>
  <c r="CU31" i="4" a="1"/>
  <c r="CU31" i="4" s="1"/>
  <c r="CS31" i="4"/>
  <c r="CT31" i="4" s="1"/>
  <c r="CS30" i="4"/>
  <c r="CV29" i="4" a="1"/>
  <c r="CV29" i="4" s="1"/>
  <c r="CU29" i="4" a="1"/>
  <c r="CU29" i="4" s="1"/>
  <c r="CS29" i="4"/>
  <c r="CT29" i="4" s="1"/>
  <c r="CS28" i="4"/>
  <c r="CV27" i="4" a="1"/>
  <c r="CV27" i="4" s="1"/>
  <c r="CU27" i="4" a="1"/>
  <c r="CU27" i="4" s="1"/>
  <c r="CS27" i="4"/>
  <c r="CT27" i="4" s="1"/>
  <c r="CS26" i="4"/>
  <c r="CV25" i="4" a="1"/>
  <c r="CV25" i="4" s="1"/>
  <c r="CU25" i="4" a="1"/>
  <c r="CU25" i="4" s="1"/>
  <c r="CS25" i="4"/>
  <c r="CT25" i="4" s="1"/>
  <c r="CS24" i="4"/>
  <c r="CV23" i="4" a="1"/>
  <c r="CV23" i="4" s="1"/>
  <c r="CU23" i="4" a="1"/>
  <c r="CU23" i="4" s="1"/>
  <c r="CS23" i="4"/>
  <c r="CT23" i="4" s="1"/>
  <c r="CS22" i="4"/>
  <c r="CV21" i="4" a="1"/>
  <c r="CV21" i="4" s="1"/>
  <c r="CU21" i="4" a="1"/>
  <c r="CU21" i="4" s="1"/>
  <c r="CS21" i="4"/>
  <c r="CT21" i="4" s="1"/>
  <c r="CS20" i="4"/>
  <c r="CV19" i="4" a="1"/>
  <c r="CV19" i="4" s="1"/>
  <c r="CU19" i="4" a="1"/>
  <c r="CU19" i="4" s="1"/>
  <c r="CS19" i="4"/>
  <c r="CT19" i="4" s="1"/>
  <c r="CS18" i="4"/>
  <c r="CV17" i="4" a="1"/>
  <c r="CV17" i="4" s="1"/>
  <c r="CU17" i="4" a="1"/>
  <c r="CU17" i="4" s="1"/>
  <c r="CS17" i="4"/>
  <c r="CT17" i="4" s="1"/>
  <c r="CS16" i="4"/>
  <c r="CV15" i="4" a="1"/>
  <c r="CV15" i="4" s="1"/>
  <c r="CU15" i="4" a="1"/>
  <c r="CU15" i="4" s="1"/>
  <c r="CS15" i="4"/>
  <c r="CT15" i="4" s="1"/>
  <c r="CS14" i="4"/>
  <c r="CV13" i="4" a="1"/>
  <c r="CV13" i="4" s="1"/>
  <c r="CU13" i="4" a="1"/>
  <c r="CU13" i="4" s="1"/>
  <c r="CS13" i="4"/>
  <c r="CT13" i="4" s="1"/>
  <c r="CS12" i="4"/>
  <c r="CT12" i="4" s="1"/>
  <c r="CV11" i="4" a="1"/>
  <c r="CV11" i="4" s="1"/>
  <c r="CU11" i="4" a="1"/>
  <c r="CU11" i="4" s="1"/>
  <c r="CS11" i="4"/>
  <c r="CT11" i="4" s="1"/>
  <c r="CT10" i="4"/>
  <c r="CS10" i="4"/>
  <c r="CV9" i="4" a="1"/>
  <c r="CV9" i="4" s="1"/>
  <c r="CU9" i="4" a="1"/>
  <c r="CU9" i="4" s="1"/>
  <c r="CS9" i="4"/>
  <c r="CT9" i="4" s="1"/>
  <c r="CT8" i="4"/>
  <c r="CS8" i="4"/>
  <c r="CV7" i="4" a="1"/>
  <c r="CV7" i="4" s="1"/>
  <c r="CU7" i="4" a="1"/>
  <c r="CU7" i="4" s="1"/>
  <c r="CS7" i="4"/>
  <c r="CT7" i="4" s="1"/>
  <c r="CS6" i="4"/>
  <c r="CT6" i="4" s="1"/>
  <c r="CV5" i="4" a="1"/>
  <c r="CV5" i="4" s="1"/>
  <c r="CU5" i="4" a="1"/>
  <c r="CU5" i="4" s="1"/>
  <c r="CS5" i="4"/>
  <c r="CT5" i="4" s="1"/>
  <c r="CS4" i="4"/>
  <c r="CV3" i="4" a="1"/>
  <c r="CV3" i="4" s="1"/>
  <c r="CU3" i="4" a="1"/>
  <c r="CU3" i="4" s="1"/>
  <c r="CS3" i="4"/>
  <c r="CT3" i="4" s="1"/>
  <c r="CV2" i="4" a="1"/>
  <c r="CV2" i="4" s="1"/>
  <c r="CU2" i="4" a="1"/>
  <c r="CU2" i="4" s="1"/>
  <c r="CT2" i="4"/>
  <c r="CS2" i="4"/>
  <c r="H59" i="4"/>
  <c r="G59" i="4"/>
  <c r="F59" i="4"/>
  <c r="E59" i="4"/>
  <c r="D59" i="4" a="1"/>
  <c r="D59" i="4" s="1"/>
  <c r="C59" i="4"/>
  <c r="B59" i="4"/>
  <c r="H58" i="4"/>
  <c r="G58" i="4"/>
  <c r="F58" i="4"/>
  <c r="E58" i="4"/>
  <c r="D58" i="4" a="1"/>
  <c r="D58" i="4" s="1"/>
  <c r="C58" i="4"/>
  <c r="B58" i="4"/>
  <c r="H57" i="4"/>
  <c r="G57" i="4"/>
  <c r="F57" i="4"/>
  <c r="E57" i="4"/>
  <c r="D57" i="4" a="1"/>
  <c r="D57" i="4" s="1"/>
  <c r="C57" i="4"/>
  <c r="B57" i="4"/>
  <c r="H56" i="4"/>
  <c r="G56" i="4"/>
  <c r="F56" i="4"/>
  <c r="E56" i="4"/>
  <c r="D56" i="4" a="1"/>
  <c r="D56" i="4" s="1"/>
  <c r="C56" i="4"/>
  <c r="B56" i="4"/>
  <c r="CR33" i="4" a="1"/>
  <c r="CR33" i="4" s="1"/>
  <c r="CR32" i="4" a="1"/>
  <c r="CR32" i="4" s="1"/>
  <c r="CR31" i="4" a="1"/>
  <c r="CR31" i="4" s="1"/>
  <c r="CR30" i="4" a="1"/>
  <c r="CR30" i="4" s="1"/>
  <c r="CR29" i="4" a="1"/>
  <c r="CR29" i="4" s="1"/>
  <c r="CR28" i="4" a="1"/>
  <c r="CR28" i="4" s="1"/>
  <c r="CR27" i="4" a="1"/>
  <c r="CR27" i="4" s="1"/>
  <c r="CR26" i="4" a="1"/>
  <c r="CR26" i="4" s="1"/>
  <c r="CR25" i="4" a="1"/>
  <c r="CR25" i="4" s="1"/>
  <c r="CR24" i="4" a="1"/>
  <c r="CR24" i="4" s="1"/>
  <c r="CR23" i="4" a="1"/>
  <c r="CR23" i="4" s="1"/>
  <c r="CR22" i="4" a="1"/>
  <c r="CR22" i="4" s="1"/>
  <c r="CR21" i="4" a="1"/>
  <c r="CR21" i="4" s="1"/>
  <c r="CR20" i="4" a="1"/>
  <c r="CR20" i="4" s="1"/>
  <c r="CR19" i="4" a="1"/>
  <c r="CR19" i="4" s="1"/>
  <c r="CR18" i="4" a="1"/>
  <c r="CR18" i="4" s="1"/>
  <c r="CR17" i="4" a="1"/>
  <c r="CR17" i="4" s="1"/>
  <c r="CR16" i="4" a="1"/>
  <c r="CR16" i="4" s="1"/>
  <c r="CR15" i="4" a="1"/>
  <c r="CR15" i="4" s="1"/>
  <c r="CR14" i="4" a="1"/>
  <c r="CR14" i="4" s="1"/>
  <c r="CR13" i="4" a="1"/>
  <c r="CR13" i="4" s="1"/>
  <c r="CR12" i="4" a="1"/>
  <c r="CR12" i="4" s="1"/>
  <c r="CR11" i="4" a="1"/>
  <c r="CR11" i="4" s="1"/>
  <c r="CR10" i="4" a="1"/>
  <c r="CR10" i="4" s="1"/>
  <c r="CR9" i="4" a="1"/>
  <c r="CR9" i="4" s="1"/>
  <c r="CR8" i="4" a="1"/>
  <c r="CR8" i="4" s="1"/>
  <c r="CR7" i="4" a="1"/>
  <c r="CR7" i="4" s="1"/>
  <c r="CR6" i="4" a="1"/>
  <c r="CR6" i="4" s="1"/>
  <c r="CR5" i="4" a="1"/>
  <c r="CR5" i="4" s="1"/>
  <c r="CR4" i="4" a="1"/>
  <c r="CR4" i="4" s="1"/>
  <c r="CR3" i="4" a="1"/>
  <c r="CR3" i="4" s="1"/>
  <c r="CQ33" i="4" a="1"/>
  <c r="CQ33" i="4" s="1"/>
  <c r="CQ32" i="4" a="1"/>
  <c r="CQ32" i="4" s="1"/>
  <c r="CQ31" i="4" a="1"/>
  <c r="CQ31" i="4" s="1"/>
  <c r="CQ30" i="4" a="1"/>
  <c r="CQ30" i="4" s="1"/>
  <c r="CQ29" i="4" a="1"/>
  <c r="CQ29" i="4" s="1"/>
  <c r="CQ28" i="4" a="1"/>
  <c r="CQ28" i="4" s="1"/>
  <c r="CQ27" i="4" a="1"/>
  <c r="CQ27" i="4" s="1"/>
  <c r="CQ26" i="4" a="1"/>
  <c r="CQ26" i="4" s="1"/>
  <c r="CQ25" i="4" a="1"/>
  <c r="CQ25" i="4" s="1"/>
  <c r="CQ24" i="4" a="1"/>
  <c r="CQ24" i="4" s="1"/>
  <c r="CQ23" i="4" a="1"/>
  <c r="CQ23" i="4" s="1"/>
  <c r="CQ22" i="4" a="1"/>
  <c r="CQ22" i="4" s="1"/>
  <c r="CQ21" i="4" a="1"/>
  <c r="CQ21" i="4" s="1"/>
  <c r="CQ20" i="4" a="1"/>
  <c r="CQ20" i="4" s="1"/>
  <c r="CQ19" i="4" a="1"/>
  <c r="CQ19" i="4" s="1"/>
  <c r="CQ18" i="4" a="1"/>
  <c r="CQ18" i="4" s="1"/>
  <c r="CQ17" i="4" a="1"/>
  <c r="CQ17" i="4" s="1"/>
  <c r="CQ16" i="4" a="1"/>
  <c r="CQ16" i="4" s="1"/>
  <c r="CQ15" i="4" a="1"/>
  <c r="CQ15" i="4" s="1"/>
  <c r="CQ14" i="4" a="1"/>
  <c r="CQ14" i="4" s="1"/>
  <c r="CQ13" i="4" a="1"/>
  <c r="CQ13" i="4" s="1"/>
  <c r="CQ12" i="4" a="1"/>
  <c r="CQ12" i="4" s="1"/>
  <c r="CQ11" i="4" a="1"/>
  <c r="CQ11" i="4" s="1"/>
  <c r="CQ10" i="4" a="1"/>
  <c r="CQ10" i="4" s="1"/>
  <c r="CQ9" i="4" a="1"/>
  <c r="CQ9" i="4" s="1"/>
  <c r="CQ8" i="4" a="1"/>
  <c r="CQ8" i="4" s="1"/>
  <c r="CQ7" i="4" a="1"/>
  <c r="CQ7" i="4" s="1"/>
  <c r="CQ6" i="4" a="1"/>
  <c r="CQ6" i="4" s="1"/>
  <c r="CQ5" i="4" a="1"/>
  <c r="CQ5" i="4" s="1"/>
  <c r="CQ4" i="4" a="1"/>
  <c r="CQ4" i="4" s="1"/>
  <c r="CQ3" i="4" a="1"/>
  <c r="CQ3" i="4" s="1"/>
  <c r="CP33" i="4"/>
  <c r="CP32" i="4"/>
  <c r="CP31" i="4"/>
  <c r="CP30" i="4"/>
  <c r="CP29" i="4"/>
  <c r="CP28" i="4"/>
  <c r="CP27" i="4"/>
  <c r="CP26" i="4"/>
  <c r="CP25" i="4"/>
  <c r="CP24" i="4"/>
  <c r="CP23" i="4"/>
  <c r="CP22" i="4"/>
  <c r="CP21" i="4"/>
  <c r="CP20" i="4"/>
  <c r="CP19" i="4"/>
  <c r="CP18" i="4"/>
  <c r="CP17" i="4"/>
  <c r="CP16" i="4"/>
  <c r="CP15" i="4"/>
  <c r="CP14" i="4"/>
  <c r="CP13" i="4"/>
  <c r="CP12" i="4"/>
  <c r="CP11" i="4"/>
  <c r="CP10" i="4"/>
  <c r="CP9" i="4"/>
  <c r="CP8" i="4"/>
  <c r="CP7" i="4"/>
  <c r="CP6" i="4"/>
  <c r="CP5" i="4"/>
  <c r="CP4" i="4"/>
  <c r="CP3" i="4"/>
  <c r="CO33" i="4"/>
  <c r="CO32" i="4"/>
  <c r="CO31" i="4"/>
  <c r="CO30" i="4"/>
  <c r="CO29" i="4"/>
  <c r="CO28" i="4"/>
  <c r="CO27" i="4"/>
  <c r="CO26" i="4"/>
  <c r="CO25" i="4"/>
  <c r="CO24" i="4"/>
  <c r="CO23" i="4"/>
  <c r="CO22" i="4"/>
  <c r="CO21" i="4"/>
  <c r="CO20" i="4"/>
  <c r="CO19" i="4"/>
  <c r="CO18" i="4"/>
  <c r="CO17" i="4"/>
  <c r="CO16" i="4"/>
  <c r="CO15" i="4"/>
  <c r="CO14" i="4"/>
  <c r="CO13" i="4"/>
  <c r="CO12" i="4"/>
  <c r="CO11" i="4"/>
  <c r="CO10" i="4"/>
  <c r="CO9" i="4"/>
  <c r="CO8" i="4"/>
  <c r="CO7" i="4"/>
  <c r="CO6" i="4"/>
  <c r="CO5" i="4"/>
  <c r="CO4" i="4"/>
  <c r="CO3" i="4"/>
  <c r="CN33" i="4" a="1"/>
  <c r="CN33" i="4" s="1"/>
  <c r="CN32" i="4" a="1"/>
  <c r="CN32" i="4" s="1"/>
  <c r="CN31" i="4" a="1"/>
  <c r="CN31" i="4" s="1"/>
  <c r="CN30" i="4" a="1"/>
  <c r="CN30" i="4" s="1"/>
  <c r="CN29" i="4" a="1"/>
  <c r="CN29" i="4" s="1"/>
  <c r="CN28" i="4" a="1"/>
  <c r="CN28" i="4" s="1"/>
  <c r="CN27" i="4" a="1"/>
  <c r="CN27" i="4" s="1"/>
  <c r="CN26" i="4" a="1"/>
  <c r="CN26" i="4" s="1"/>
  <c r="CN25" i="4" a="1"/>
  <c r="CN25" i="4" s="1"/>
  <c r="CN24" i="4" a="1"/>
  <c r="CN24" i="4" s="1"/>
  <c r="CN23" i="4" a="1"/>
  <c r="CN23" i="4" s="1"/>
  <c r="CN22" i="4" a="1"/>
  <c r="CN22" i="4" s="1"/>
  <c r="CN21" i="4" a="1"/>
  <c r="CN21" i="4" s="1"/>
  <c r="CN20" i="4" a="1"/>
  <c r="CN20" i="4" s="1"/>
  <c r="CN19" i="4" a="1"/>
  <c r="CN19" i="4" s="1"/>
  <c r="CN18" i="4" a="1"/>
  <c r="CN18" i="4" s="1"/>
  <c r="CN17" i="4" a="1"/>
  <c r="CN17" i="4" s="1"/>
  <c r="CN16" i="4" a="1"/>
  <c r="CN16" i="4" s="1"/>
  <c r="CN15" i="4" a="1"/>
  <c r="CN15" i="4" s="1"/>
  <c r="CN14" i="4" a="1"/>
  <c r="CN14" i="4" s="1"/>
  <c r="CN13" i="4" a="1"/>
  <c r="CN13" i="4" s="1"/>
  <c r="CN12" i="4" a="1"/>
  <c r="CN12" i="4" s="1"/>
  <c r="CN11" i="4" a="1"/>
  <c r="CN11" i="4" s="1"/>
  <c r="CN10" i="4" a="1"/>
  <c r="CN10" i="4" s="1"/>
  <c r="CN9" i="4" a="1"/>
  <c r="CN9" i="4" s="1"/>
  <c r="CN8" i="4" a="1"/>
  <c r="CN8" i="4" s="1"/>
  <c r="CN7" i="4" a="1"/>
  <c r="CN7" i="4" s="1"/>
  <c r="CN6" i="4" a="1"/>
  <c r="CN6" i="4" s="1"/>
  <c r="CN5" i="4" a="1"/>
  <c r="CN5" i="4" s="1"/>
  <c r="CN4" i="4" a="1"/>
  <c r="CN4" i="4" s="1"/>
  <c r="CN3" i="4" a="1"/>
  <c r="CN3" i="4" s="1"/>
  <c r="CM33" i="4" a="1"/>
  <c r="CM33" i="4" s="1"/>
  <c r="CM32" i="4" a="1"/>
  <c r="CM32" i="4" s="1"/>
  <c r="CM31" i="4" a="1"/>
  <c r="CM31" i="4" s="1"/>
  <c r="CM30" i="4" a="1"/>
  <c r="CM30" i="4" s="1"/>
  <c r="CM29" i="4" a="1"/>
  <c r="CM29" i="4" s="1"/>
  <c r="CM28" i="4" a="1"/>
  <c r="CM28" i="4" s="1"/>
  <c r="CM27" i="4" a="1"/>
  <c r="CM27" i="4" s="1"/>
  <c r="CM26" i="4" a="1"/>
  <c r="CM26" i="4" s="1"/>
  <c r="CM25" i="4" a="1"/>
  <c r="CM25" i="4" s="1"/>
  <c r="CM24" i="4" a="1"/>
  <c r="CM24" i="4" s="1"/>
  <c r="CM23" i="4" a="1"/>
  <c r="CM23" i="4" s="1"/>
  <c r="CM22" i="4" a="1"/>
  <c r="CM22" i="4" s="1"/>
  <c r="CM21" i="4" a="1"/>
  <c r="CM21" i="4" s="1"/>
  <c r="CM20" i="4" a="1"/>
  <c r="CM20" i="4" s="1"/>
  <c r="CM19" i="4" a="1"/>
  <c r="CM19" i="4" s="1"/>
  <c r="CM18" i="4" a="1"/>
  <c r="CM18" i="4" s="1"/>
  <c r="CM17" i="4" a="1"/>
  <c r="CM17" i="4" s="1"/>
  <c r="CM16" i="4" a="1"/>
  <c r="CM16" i="4" s="1"/>
  <c r="CM15" i="4" a="1"/>
  <c r="CM15" i="4" s="1"/>
  <c r="CM14" i="4" a="1"/>
  <c r="CM14" i="4" s="1"/>
  <c r="CM13" i="4" a="1"/>
  <c r="CM13" i="4" s="1"/>
  <c r="CM12" i="4" a="1"/>
  <c r="CM12" i="4" s="1"/>
  <c r="CM11" i="4" a="1"/>
  <c r="CM11" i="4" s="1"/>
  <c r="CM10" i="4" a="1"/>
  <c r="CM10" i="4" s="1"/>
  <c r="CM9" i="4" a="1"/>
  <c r="CM9" i="4" s="1"/>
  <c r="CM8" i="4" a="1"/>
  <c r="CM8" i="4" s="1"/>
  <c r="CM7" i="4" a="1"/>
  <c r="CM7" i="4" s="1"/>
  <c r="CM6" i="4" a="1"/>
  <c r="CM6" i="4" s="1"/>
  <c r="CM5" i="4" a="1"/>
  <c r="CM5" i="4" s="1"/>
  <c r="CM4" i="4" a="1"/>
  <c r="CM4" i="4" s="1"/>
  <c r="CM3" i="4" a="1"/>
  <c r="CM3" i="4" s="1"/>
  <c r="CL33" i="4"/>
  <c r="CL32" i="4"/>
  <c r="CL31" i="4"/>
  <c r="CL30" i="4"/>
  <c r="CL29" i="4"/>
  <c r="CL28" i="4"/>
  <c r="CL27" i="4"/>
  <c r="CL26" i="4"/>
  <c r="CL25" i="4"/>
  <c r="CL24" i="4"/>
  <c r="CL23" i="4"/>
  <c r="CL22" i="4"/>
  <c r="CL21" i="4"/>
  <c r="CL20" i="4"/>
  <c r="CL19" i="4"/>
  <c r="CL18" i="4"/>
  <c r="CL17" i="4"/>
  <c r="CL16" i="4"/>
  <c r="CL15" i="4"/>
  <c r="CL14" i="4"/>
  <c r="CL13" i="4"/>
  <c r="CL12" i="4"/>
  <c r="CL11" i="4"/>
  <c r="CL10" i="4"/>
  <c r="CL9" i="4"/>
  <c r="CL8" i="4"/>
  <c r="CL7" i="4"/>
  <c r="CL6" i="4"/>
  <c r="CL5" i="4"/>
  <c r="CL4" i="4"/>
  <c r="CL3" i="4"/>
  <c r="CK33" i="4"/>
  <c r="CK32" i="4"/>
  <c r="CK31" i="4"/>
  <c r="CK30" i="4"/>
  <c r="CK29" i="4"/>
  <c r="CK28" i="4"/>
  <c r="CK27" i="4"/>
  <c r="CK26" i="4"/>
  <c r="CK25" i="4"/>
  <c r="CK24" i="4"/>
  <c r="CK23" i="4"/>
  <c r="CK22" i="4"/>
  <c r="CK21" i="4"/>
  <c r="CK20" i="4"/>
  <c r="CK19" i="4"/>
  <c r="CK18" i="4"/>
  <c r="CK17" i="4"/>
  <c r="CK16" i="4"/>
  <c r="CK15" i="4"/>
  <c r="CK14" i="4"/>
  <c r="CK13" i="4"/>
  <c r="CK12" i="4"/>
  <c r="CK11" i="4"/>
  <c r="CK10" i="4"/>
  <c r="CK9" i="4"/>
  <c r="CK8" i="4"/>
  <c r="CK7" i="4"/>
  <c r="CK6" i="4"/>
  <c r="CK5" i="4"/>
  <c r="CK4" i="4"/>
  <c r="CK3" i="4"/>
  <c r="CJ33" i="4" a="1"/>
  <c r="CJ33" i="4" s="1"/>
  <c r="CJ32" i="4" a="1"/>
  <c r="CJ32" i="4" s="1"/>
  <c r="CJ31" i="4" a="1"/>
  <c r="CJ31" i="4" s="1"/>
  <c r="CJ30" i="4" a="1"/>
  <c r="CJ30" i="4" s="1"/>
  <c r="CJ29" i="4" a="1"/>
  <c r="CJ29" i="4" s="1"/>
  <c r="CJ28" i="4" a="1"/>
  <c r="CJ28" i="4" s="1"/>
  <c r="CJ27" i="4" a="1"/>
  <c r="CJ27" i="4" s="1"/>
  <c r="CJ26" i="4" a="1"/>
  <c r="CJ26" i="4" s="1"/>
  <c r="CJ25" i="4" a="1"/>
  <c r="CJ25" i="4" s="1"/>
  <c r="CJ24" i="4" a="1"/>
  <c r="CJ24" i="4" s="1"/>
  <c r="CJ23" i="4" a="1"/>
  <c r="CJ23" i="4" s="1"/>
  <c r="CJ22" i="4" a="1"/>
  <c r="CJ22" i="4" s="1"/>
  <c r="CJ21" i="4" a="1"/>
  <c r="CJ21" i="4" s="1"/>
  <c r="CJ20" i="4" a="1"/>
  <c r="CJ20" i="4" s="1"/>
  <c r="CJ19" i="4" a="1"/>
  <c r="CJ19" i="4" s="1"/>
  <c r="CJ18" i="4" a="1"/>
  <c r="CJ18" i="4" s="1"/>
  <c r="CJ17" i="4" a="1"/>
  <c r="CJ17" i="4" s="1"/>
  <c r="CJ16" i="4" a="1"/>
  <c r="CJ16" i="4" s="1"/>
  <c r="CJ15" i="4" a="1"/>
  <c r="CJ15" i="4" s="1"/>
  <c r="CJ14" i="4" a="1"/>
  <c r="CJ14" i="4" s="1"/>
  <c r="CJ13" i="4" a="1"/>
  <c r="CJ13" i="4" s="1"/>
  <c r="CJ12" i="4" a="1"/>
  <c r="CJ12" i="4" s="1"/>
  <c r="CJ11" i="4" a="1"/>
  <c r="CJ11" i="4" s="1"/>
  <c r="CJ10" i="4" a="1"/>
  <c r="CJ10" i="4" s="1"/>
  <c r="CJ9" i="4" a="1"/>
  <c r="CJ9" i="4" s="1"/>
  <c r="CJ8" i="4" a="1"/>
  <c r="CJ8" i="4" s="1"/>
  <c r="CJ7" i="4" a="1"/>
  <c r="CJ7" i="4" s="1"/>
  <c r="CJ6" i="4" a="1"/>
  <c r="CJ6" i="4" s="1"/>
  <c r="CJ5" i="4" a="1"/>
  <c r="CJ5" i="4" s="1"/>
  <c r="CJ4" i="4" a="1"/>
  <c r="CJ4" i="4" s="1"/>
  <c r="CJ3" i="4" a="1"/>
  <c r="CJ3" i="4" s="1"/>
  <c r="CI33" i="4" a="1"/>
  <c r="CI33" i="4" s="1"/>
  <c r="CI32" i="4" a="1"/>
  <c r="CI32" i="4" s="1"/>
  <c r="CI31" i="4" a="1"/>
  <c r="CI31" i="4" s="1"/>
  <c r="CI30" i="4" a="1"/>
  <c r="CI30" i="4" s="1"/>
  <c r="CI29" i="4" a="1"/>
  <c r="CI29" i="4" s="1"/>
  <c r="CI28" i="4" a="1"/>
  <c r="CI28" i="4" s="1"/>
  <c r="CI27" i="4" a="1"/>
  <c r="CI27" i="4" s="1"/>
  <c r="CI26" i="4" a="1"/>
  <c r="CI26" i="4" s="1"/>
  <c r="CI25" i="4" a="1"/>
  <c r="CI25" i="4" s="1"/>
  <c r="CI24" i="4" a="1"/>
  <c r="CI24" i="4" s="1"/>
  <c r="CI23" i="4" a="1"/>
  <c r="CI23" i="4" s="1"/>
  <c r="CI22" i="4" a="1"/>
  <c r="CI22" i="4" s="1"/>
  <c r="CI21" i="4" a="1"/>
  <c r="CI21" i="4" s="1"/>
  <c r="CI20" i="4" a="1"/>
  <c r="CI20" i="4" s="1"/>
  <c r="CI19" i="4" a="1"/>
  <c r="CI19" i="4" s="1"/>
  <c r="CI18" i="4" a="1"/>
  <c r="CI18" i="4" s="1"/>
  <c r="CI17" i="4" a="1"/>
  <c r="CI17" i="4" s="1"/>
  <c r="CI16" i="4" a="1"/>
  <c r="CI16" i="4" s="1"/>
  <c r="CI15" i="4" a="1"/>
  <c r="CI15" i="4" s="1"/>
  <c r="CI14" i="4" a="1"/>
  <c r="CI14" i="4" s="1"/>
  <c r="CI13" i="4" a="1"/>
  <c r="CI13" i="4" s="1"/>
  <c r="CI12" i="4" a="1"/>
  <c r="CI12" i="4" s="1"/>
  <c r="CI11" i="4" a="1"/>
  <c r="CI11" i="4" s="1"/>
  <c r="CI10" i="4" a="1"/>
  <c r="CI10" i="4" s="1"/>
  <c r="CI9" i="4" a="1"/>
  <c r="CI9" i="4" s="1"/>
  <c r="CI8" i="4" a="1"/>
  <c r="CI8" i="4" s="1"/>
  <c r="CI7" i="4" a="1"/>
  <c r="CI7" i="4" s="1"/>
  <c r="CI6" i="4" a="1"/>
  <c r="CI6" i="4" s="1"/>
  <c r="CI5" i="4" a="1"/>
  <c r="CI5" i="4" s="1"/>
  <c r="CI4" i="4" a="1"/>
  <c r="CI4" i="4" s="1"/>
  <c r="CI3" i="4" a="1"/>
  <c r="CI3" i="4" s="1"/>
  <c r="CH33" i="4"/>
  <c r="CH32" i="4"/>
  <c r="CH31" i="4"/>
  <c r="CH30" i="4"/>
  <c r="CH29" i="4"/>
  <c r="CH28" i="4"/>
  <c r="CH27" i="4"/>
  <c r="CH26" i="4"/>
  <c r="CH25" i="4"/>
  <c r="CH24" i="4"/>
  <c r="CH23" i="4"/>
  <c r="CH22" i="4"/>
  <c r="CH21" i="4"/>
  <c r="CH20" i="4"/>
  <c r="CH19" i="4"/>
  <c r="CH18" i="4"/>
  <c r="CH17" i="4"/>
  <c r="CH16" i="4"/>
  <c r="CH15" i="4"/>
  <c r="CH14" i="4"/>
  <c r="CH13" i="4"/>
  <c r="CH12" i="4"/>
  <c r="CH11" i="4"/>
  <c r="CH10" i="4"/>
  <c r="CH9" i="4"/>
  <c r="CH8" i="4"/>
  <c r="CH7" i="4"/>
  <c r="CH6" i="4"/>
  <c r="CH5" i="4"/>
  <c r="CH4" i="4"/>
  <c r="CH3" i="4"/>
  <c r="CG33" i="4"/>
  <c r="CG32" i="4"/>
  <c r="CG31" i="4"/>
  <c r="CG30" i="4"/>
  <c r="CG29" i="4"/>
  <c r="CG28" i="4"/>
  <c r="CG27" i="4"/>
  <c r="CG26" i="4"/>
  <c r="CG25" i="4"/>
  <c r="CG24" i="4"/>
  <c r="CG23" i="4"/>
  <c r="CG22" i="4"/>
  <c r="CG21" i="4"/>
  <c r="CG20" i="4"/>
  <c r="CG19" i="4"/>
  <c r="CG18" i="4"/>
  <c r="CG17" i="4"/>
  <c r="CG16" i="4"/>
  <c r="CG15" i="4"/>
  <c r="CG14" i="4"/>
  <c r="CG13" i="4"/>
  <c r="CG12" i="4"/>
  <c r="CG11" i="4"/>
  <c r="CG10" i="4"/>
  <c r="CG9" i="4"/>
  <c r="CG8" i="4"/>
  <c r="CG7" i="4"/>
  <c r="CG6" i="4"/>
  <c r="CG5" i="4"/>
  <c r="CG4" i="4"/>
  <c r="CG3" i="4"/>
  <c r="CF33" i="4" a="1"/>
  <c r="CF33" i="4" s="1"/>
  <c r="CF32" i="4" a="1"/>
  <c r="CF32" i="4" s="1"/>
  <c r="CF31" i="4" a="1"/>
  <c r="CF31" i="4" s="1"/>
  <c r="CF30" i="4"/>
  <c r="CF30" i="4" a="1"/>
  <c r="CF29" i="4" a="1"/>
  <c r="CF29" i="4" s="1"/>
  <c r="CF28" i="4" a="1"/>
  <c r="CF28" i="4" s="1"/>
  <c r="CF27" i="4" a="1"/>
  <c r="CF27" i="4" s="1"/>
  <c r="CF26" i="4" a="1"/>
  <c r="CF26" i="4" s="1"/>
  <c r="CF25" i="4" a="1"/>
  <c r="CF25" i="4" s="1"/>
  <c r="CF24" i="4"/>
  <c r="CF24" i="4" a="1"/>
  <c r="CF23" i="4" a="1"/>
  <c r="CF23" i="4" s="1"/>
  <c r="CF22" i="4" a="1"/>
  <c r="CF22" i="4" s="1"/>
  <c r="CF21" i="4" a="1"/>
  <c r="CF21" i="4" s="1"/>
  <c r="CF20" i="4" a="1"/>
  <c r="CF20" i="4" s="1"/>
  <c r="CF19" i="4" a="1"/>
  <c r="CF19" i="4" s="1"/>
  <c r="CF18" i="4"/>
  <c r="CF18" i="4" a="1"/>
  <c r="CF17" i="4" a="1"/>
  <c r="CF17" i="4" s="1"/>
  <c r="CF16" i="4" a="1"/>
  <c r="CF16" i="4" s="1"/>
  <c r="CF15" i="4" a="1"/>
  <c r="CF15" i="4" s="1"/>
  <c r="CF14" i="4" a="1"/>
  <c r="CF14" i="4" s="1"/>
  <c r="CF13" i="4" a="1"/>
  <c r="CF13" i="4" s="1"/>
  <c r="CF12" i="4"/>
  <c r="CF12" i="4" a="1"/>
  <c r="CF11" i="4" a="1"/>
  <c r="CF11" i="4" s="1"/>
  <c r="CF10" i="4" a="1"/>
  <c r="CF10" i="4" s="1"/>
  <c r="CF9" i="4" a="1"/>
  <c r="CF9" i="4" s="1"/>
  <c r="CF8" i="4" a="1"/>
  <c r="CF8" i="4" s="1"/>
  <c r="CF7" i="4" a="1"/>
  <c r="CF7" i="4" s="1"/>
  <c r="CF6" i="4"/>
  <c r="CF6" i="4" a="1"/>
  <c r="CF5" i="4" a="1"/>
  <c r="CF5" i="4" s="1"/>
  <c r="CF4" i="4" a="1"/>
  <c r="CF4" i="4" s="1"/>
  <c r="CF3" i="4" a="1"/>
  <c r="CF3" i="4" s="1"/>
  <c r="CE33" i="4" a="1"/>
  <c r="CE33" i="4" s="1"/>
  <c r="CE32" i="4" a="1"/>
  <c r="CE32" i="4" s="1"/>
  <c r="CE31" i="4" a="1"/>
  <c r="CE31" i="4" s="1"/>
  <c r="CE30" i="4" a="1"/>
  <c r="CE30" i="4" s="1"/>
  <c r="CE29" i="4" a="1"/>
  <c r="CE29" i="4" s="1"/>
  <c r="CE28" i="4" a="1"/>
  <c r="CE28" i="4" s="1"/>
  <c r="CE27" i="4" a="1"/>
  <c r="CE27" i="4" s="1"/>
  <c r="CE26" i="4" a="1"/>
  <c r="CE26" i="4" s="1"/>
  <c r="CE25" i="4" a="1"/>
  <c r="CE25" i="4" s="1"/>
  <c r="CE24" i="4" a="1"/>
  <c r="CE24" i="4" s="1"/>
  <c r="CE23" i="4" a="1"/>
  <c r="CE23" i="4" s="1"/>
  <c r="CE22" i="4" a="1"/>
  <c r="CE22" i="4" s="1"/>
  <c r="CE21" i="4" a="1"/>
  <c r="CE21" i="4" s="1"/>
  <c r="CE20" i="4" a="1"/>
  <c r="CE20" i="4" s="1"/>
  <c r="CE19" i="4" a="1"/>
  <c r="CE19" i="4" s="1"/>
  <c r="CE18" i="4" a="1"/>
  <c r="CE18" i="4" s="1"/>
  <c r="CE17" i="4" a="1"/>
  <c r="CE17" i="4" s="1"/>
  <c r="CE16" i="4" a="1"/>
  <c r="CE16" i="4" s="1"/>
  <c r="CE15" i="4" a="1"/>
  <c r="CE15" i="4" s="1"/>
  <c r="CE14" i="4" a="1"/>
  <c r="CE14" i="4" s="1"/>
  <c r="CE13" i="4" a="1"/>
  <c r="CE13" i="4" s="1"/>
  <c r="CE12" i="4" a="1"/>
  <c r="CE12" i="4" s="1"/>
  <c r="CE11" i="4" a="1"/>
  <c r="CE11" i="4" s="1"/>
  <c r="CE10" i="4" a="1"/>
  <c r="CE10" i="4" s="1"/>
  <c r="CE9" i="4" a="1"/>
  <c r="CE9" i="4" s="1"/>
  <c r="CE8" i="4" a="1"/>
  <c r="CE8" i="4" s="1"/>
  <c r="CE7" i="4" a="1"/>
  <c r="CE7" i="4" s="1"/>
  <c r="CE6" i="4" a="1"/>
  <c r="CE6" i="4" s="1"/>
  <c r="CE5" i="4" a="1"/>
  <c r="CE5" i="4" s="1"/>
  <c r="CE4" i="4" a="1"/>
  <c r="CE4" i="4" s="1"/>
  <c r="CE3" i="4" a="1"/>
  <c r="CE3" i="4" s="1"/>
  <c r="CD33" i="4"/>
  <c r="CD32" i="4"/>
  <c r="CD31" i="4"/>
  <c r="CD30" i="4"/>
  <c r="CD29" i="4"/>
  <c r="CD28" i="4"/>
  <c r="CD27" i="4"/>
  <c r="CD26" i="4"/>
  <c r="CD25" i="4"/>
  <c r="CD24" i="4"/>
  <c r="CD23" i="4"/>
  <c r="CD22" i="4"/>
  <c r="CD21" i="4"/>
  <c r="CD20" i="4"/>
  <c r="CD19" i="4"/>
  <c r="CD18" i="4"/>
  <c r="CD17" i="4"/>
  <c r="CD16" i="4"/>
  <c r="CD15" i="4"/>
  <c r="CD14" i="4"/>
  <c r="CD13" i="4"/>
  <c r="CD12" i="4"/>
  <c r="CD11" i="4"/>
  <c r="CD10" i="4"/>
  <c r="CD9" i="4"/>
  <c r="CD8" i="4"/>
  <c r="CD7" i="4"/>
  <c r="CD6" i="4"/>
  <c r="CD5" i="4"/>
  <c r="CD4" i="4"/>
  <c r="CD3" i="4"/>
  <c r="CC33" i="4"/>
  <c r="CC32" i="4"/>
  <c r="CC31" i="4"/>
  <c r="CC30" i="4"/>
  <c r="CC29" i="4"/>
  <c r="CC28" i="4"/>
  <c r="CC27" i="4"/>
  <c r="CC26" i="4"/>
  <c r="CC25" i="4"/>
  <c r="CC24" i="4"/>
  <c r="CC23" i="4"/>
  <c r="CC22" i="4"/>
  <c r="CC21" i="4"/>
  <c r="CC20" i="4"/>
  <c r="CC19" i="4"/>
  <c r="CC18" i="4"/>
  <c r="CC17" i="4"/>
  <c r="CC16" i="4"/>
  <c r="CC15" i="4"/>
  <c r="CC14" i="4"/>
  <c r="CC13" i="4"/>
  <c r="CC12" i="4"/>
  <c r="CC11" i="4"/>
  <c r="CC10" i="4"/>
  <c r="CC9" i="4"/>
  <c r="CC8" i="4"/>
  <c r="CC7" i="4"/>
  <c r="CC6" i="4"/>
  <c r="CC5" i="4"/>
  <c r="CC4" i="4"/>
  <c r="CC3" i="4"/>
  <c r="CR2" i="4" a="1"/>
  <c r="CR2" i="4" s="1"/>
  <c r="CN2" i="4" a="1"/>
  <c r="CN2" i="4" s="1"/>
  <c r="CJ2" i="4" a="1"/>
  <c r="CJ2" i="4" s="1"/>
  <c r="CF2" i="4" a="1"/>
  <c r="CF2" i="4" s="1"/>
  <c r="CQ2" i="4" a="1"/>
  <c r="CQ2" i="4" s="1"/>
  <c r="CM2" i="4" a="1"/>
  <c r="CM2" i="4" s="1"/>
  <c r="CI2" i="4" a="1"/>
  <c r="CI2" i="4"/>
  <c r="CE2" i="4" a="1"/>
  <c r="CE2" i="4" s="1"/>
  <c r="CP2" i="4"/>
  <c r="CL2" i="4"/>
  <c r="CH2" i="4"/>
  <c r="CD2" i="4"/>
  <c r="CO2" i="4"/>
  <c r="CK2" i="4"/>
  <c r="CG2" i="4"/>
  <c r="CC2" i="4"/>
  <c r="H55" i="4"/>
  <c r="G55" i="4"/>
  <c r="F55" i="4"/>
  <c r="E55" i="4"/>
  <c r="D55" i="4" a="1"/>
  <c r="D55" i="4" s="1"/>
  <c r="C55" i="4"/>
  <c r="B55" i="4"/>
  <c r="BX2" i="4" a="1"/>
  <c r="BX2" i="4" s="1"/>
  <c r="BX3" i="4" a="1"/>
  <c r="BX3" i="4" s="1"/>
  <c r="BX4" i="4" a="1"/>
  <c r="BX4" i="4" s="1"/>
  <c r="BX5" i="4" a="1"/>
  <c r="BX5" i="4" s="1"/>
  <c r="BX6" i="4" a="1"/>
  <c r="BX6" i="4" s="1"/>
  <c r="BX7" i="4" a="1"/>
  <c r="BX7" i="4"/>
  <c r="BX8" i="4" a="1"/>
  <c r="BX8" i="4" s="1"/>
  <c r="BX9" i="4" a="1"/>
  <c r="BX9" i="4" s="1"/>
  <c r="BX10" i="4" a="1"/>
  <c r="BX10" i="4" s="1"/>
  <c r="BX11" i="4" a="1"/>
  <c r="BX11" i="4" s="1"/>
  <c r="BX12" i="4" a="1"/>
  <c r="BX12" i="4" s="1"/>
  <c r="BX13" i="4" a="1"/>
  <c r="BX13" i="4"/>
  <c r="BX14" i="4" a="1"/>
  <c r="BX14" i="4" s="1"/>
  <c r="BX15" i="4" a="1"/>
  <c r="BX15" i="4" s="1"/>
  <c r="BX16" i="4" a="1"/>
  <c r="BX16" i="4" s="1"/>
  <c r="BX17" i="4" a="1"/>
  <c r="BX17" i="4" s="1"/>
  <c r="BX18" i="4" a="1"/>
  <c r="BX18" i="4" s="1"/>
  <c r="BX19" i="4" a="1"/>
  <c r="BX19" i="4"/>
  <c r="BX20" i="4" a="1"/>
  <c r="BX20" i="4" s="1"/>
  <c r="BX21" i="4" a="1"/>
  <c r="BX21" i="4" s="1"/>
  <c r="BX22" i="4" a="1"/>
  <c r="BX22" i="4" s="1"/>
  <c r="BX23" i="4" a="1"/>
  <c r="BX23" i="4" s="1"/>
  <c r="BX24" i="4" a="1"/>
  <c r="BX24" i="4" s="1"/>
  <c r="BX25" i="4" a="1"/>
  <c r="BX25" i="4"/>
  <c r="BX26" i="4" a="1"/>
  <c r="BX26" i="4" s="1"/>
  <c r="BX27" i="4" a="1"/>
  <c r="BX27" i="4" s="1"/>
  <c r="BX28" i="4" a="1"/>
  <c r="BX28" i="4" s="1"/>
  <c r="BX29" i="4" a="1"/>
  <c r="BX29" i="4" s="1"/>
  <c r="BX30" i="4" a="1"/>
  <c r="BX30" i="4" s="1"/>
  <c r="BX31" i="4" a="1"/>
  <c r="BX31" i="4" s="1"/>
  <c r="BX32" i="4" a="1"/>
  <c r="BX32" i="4" s="1"/>
  <c r="BX33" i="4" a="1"/>
  <c r="BX33" i="4" s="1"/>
  <c r="BW2" i="4" a="1"/>
  <c r="BW2" i="4" s="1"/>
  <c r="BW3" i="4" a="1"/>
  <c r="BW3" i="4" s="1"/>
  <c r="BW4" i="4" a="1"/>
  <c r="BW4" i="4" s="1"/>
  <c r="BW5" i="4" a="1"/>
  <c r="BW5" i="4" s="1"/>
  <c r="BW6" i="4" a="1"/>
  <c r="BW6" i="4" s="1"/>
  <c r="BW7" i="4" a="1"/>
  <c r="BW7" i="4" s="1"/>
  <c r="BW8" i="4" a="1"/>
  <c r="BW8" i="4" s="1"/>
  <c r="BW9" i="4" a="1"/>
  <c r="BW9" i="4" s="1"/>
  <c r="BW10" i="4" a="1"/>
  <c r="BW10" i="4" s="1"/>
  <c r="BW11" i="4" a="1"/>
  <c r="BW11" i="4" s="1"/>
  <c r="BW12" i="4" a="1"/>
  <c r="BW12" i="4" s="1"/>
  <c r="BW13" i="4" a="1"/>
  <c r="BW13" i="4" s="1"/>
  <c r="BW14" i="4" a="1"/>
  <c r="BW14" i="4" s="1"/>
  <c r="BW15" i="4" a="1"/>
  <c r="BW15" i="4" s="1"/>
  <c r="BW16" i="4" a="1"/>
  <c r="BW16" i="4" s="1"/>
  <c r="BW17" i="4" a="1"/>
  <c r="BW17" i="4" s="1"/>
  <c r="BW18" i="4" a="1"/>
  <c r="BW18" i="4" s="1"/>
  <c r="BW19" i="4" a="1"/>
  <c r="BW19" i="4" s="1"/>
  <c r="BW20" i="4" a="1"/>
  <c r="BW20" i="4" s="1"/>
  <c r="BW21" i="4" a="1"/>
  <c r="BW21" i="4" s="1"/>
  <c r="BW22" i="4" a="1"/>
  <c r="BW22" i="4" s="1"/>
  <c r="BW23" i="4" a="1"/>
  <c r="BW23" i="4" s="1"/>
  <c r="BW24" i="4" a="1"/>
  <c r="BW24" i="4" s="1"/>
  <c r="BW25" i="4" a="1"/>
  <c r="BW25" i="4" s="1"/>
  <c r="BW26" i="4" a="1"/>
  <c r="BW26" i="4" s="1"/>
  <c r="BW27" i="4" a="1"/>
  <c r="BW27" i="4" s="1"/>
  <c r="BW28" i="4" a="1"/>
  <c r="BW28" i="4" s="1"/>
  <c r="BW29" i="4" a="1"/>
  <c r="BW29" i="4" s="1"/>
  <c r="BW30" i="4" a="1"/>
  <c r="BW30" i="4" s="1"/>
  <c r="BW31" i="4" a="1"/>
  <c r="BW31" i="4" s="1"/>
  <c r="BW32" i="4" a="1"/>
  <c r="BW32" i="4" s="1"/>
  <c r="BW33" i="4" a="1"/>
  <c r="BW33" i="4" s="1"/>
  <c r="BV2" i="4"/>
  <c r="BV3" i="4"/>
  <c r="BV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U2" i="4"/>
  <c r="BU3" i="4"/>
  <c r="BU4" i="4"/>
  <c r="BU5" i="4"/>
  <c r="BU6" i="4"/>
  <c r="BU7" i="4"/>
  <c r="BU8" i="4"/>
  <c r="BU9" i="4"/>
  <c r="BU10" i="4"/>
  <c r="BU11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47" i="4"/>
  <c r="C47" i="4" s="1"/>
  <c r="D47" i="4" a="1"/>
  <c r="D47" i="4" s="1"/>
  <c r="E47" i="4" s="1"/>
  <c r="F47" i="4"/>
  <c r="G47" i="4"/>
  <c r="H47" i="4"/>
  <c r="B48" i="4"/>
  <c r="C48" i="4"/>
  <c r="D48" i="4" a="1"/>
  <c r="D48" i="4" s="1"/>
  <c r="E48" i="4" s="1"/>
  <c r="F48" i="4"/>
  <c r="G48" i="4"/>
  <c r="H48" i="4"/>
  <c r="B49" i="4"/>
  <c r="C49" i="4"/>
  <c r="D49" i="4" a="1"/>
  <c r="D49" i="4" s="1"/>
  <c r="E49" i="4" s="1"/>
  <c r="F49" i="4"/>
  <c r="G49" i="4"/>
  <c r="H49" i="4"/>
  <c r="B50" i="4"/>
  <c r="C50" i="4" s="1"/>
  <c r="D50" i="4" a="1"/>
  <c r="D50" i="4" s="1"/>
  <c r="E50" i="4" s="1"/>
  <c r="F50" i="4"/>
  <c r="G50" i="4"/>
  <c r="H50" i="4"/>
  <c r="B51" i="4"/>
  <c r="C51" i="4"/>
  <c r="D51" i="4" a="1"/>
  <c r="D51" i="4" s="1"/>
  <c r="E51" i="4" s="1"/>
  <c r="F51" i="4"/>
  <c r="G51" i="4"/>
  <c r="H51" i="4"/>
  <c r="B52" i="4"/>
  <c r="C52" i="4"/>
  <c r="D52" i="4" a="1"/>
  <c r="D52" i="4" s="1"/>
  <c r="E52" i="4" s="1"/>
  <c r="F52" i="4"/>
  <c r="G52" i="4"/>
  <c r="H52" i="4"/>
  <c r="B53" i="4"/>
  <c r="C53" i="4" s="1"/>
  <c r="D53" i="4" a="1"/>
  <c r="D53" i="4" s="1"/>
  <c r="E53" i="4" s="1"/>
  <c r="F53" i="4"/>
  <c r="G53" i="4"/>
  <c r="H53" i="4"/>
  <c r="B54" i="4"/>
  <c r="C54" i="4"/>
  <c r="D54" i="4" a="1"/>
  <c r="D54" i="4" s="1"/>
  <c r="E54" i="4" s="1"/>
  <c r="F54" i="4"/>
  <c r="G54" i="4"/>
  <c r="H54" i="4"/>
  <c r="BQ2" i="4" a="1"/>
  <c r="BQ2" i="4" s="1"/>
  <c r="BT2" i="4" s="1" a="1"/>
  <c r="BT2" i="4" s="1"/>
  <c r="BQ3" i="4" a="1"/>
  <c r="BQ3" i="4" s="1"/>
  <c r="BT3" i="4" s="1" a="1"/>
  <c r="BT3" i="4" s="1"/>
  <c r="BQ4" i="4" a="1"/>
  <c r="BQ4" i="4" s="1"/>
  <c r="BT4" i="4" s="1" a="1"/>
  <c r="BT4" i="4" s="1"/>
  <c r="BQ5" i="4" a="1"/>
  <c r="BQ5" i="4" s="1"/>
  <c r="BT5" i="4" s="1" a="1"/>
  <c r="BT5" i="4" s="1"/>
  <c r="BQ6" i="4" a="1"/>
  <c r="BQ6" i="4" s="1"/>
  <c r="BS6" i="4" s="1" a="1"/>
  <c r="BS6" i="4" s="1"/>
  <c r="BQ7" i="4" a="1"/>
  <c r="BQ7" i="4" s="1"/>
  <c r="BS7" i="4" s="1" a="1"/>
  <c r="BS7" i="4" s="1"/>
  <c r="BQ8" i="4" a="1"/>
  <c r="BQ8" i="4" s="1"/>
  <c r="BS8" i="4" s="1" a="1"/>
  <c r="BS8" i="4" s="1"/>
  <c r="BQ9" i="4" a="1"/>
  <c r="BQ9" i="4" s="1"/>
  <c r="BS9" i="4" s="1" a="1"/>
  <c r="BS9" i="4" s="1"/>
  <c r="BQ10" i="4" a="1"/>
  <c r="BQ10" i="4" s="1"/>
  <c r="BR10" i="4" s="1"/>
  <c r="BQ11" i="4" a="1"/>
  <c r="BQ11" i="4" s="1"/>
  <c r="BR11" i="4" s="1"/>
  <c r="BQ12" i="4" a="1"/>
  <c r="BQ12" i="4" s="1"/>
  <c r="BR12" i="4" s="1"/>
  <c r="BQ13" i="4" a="1"/>
  <c r="BQ13" i="4" s="1"/>
  <c r="BR13" i="4" s="1"/>
  <c r="BQ14" i="4" a="1"/>
  <c r="BQ14" i="4" s="1"/>
  <c r="BT14" i="4" s="1" a="1"/>
  <c r="BT14" i="4" s="1"/>
  <c r="BQ15" i="4" a="1"/>
  <c r="BQ15" i="4" s="1"/>
  <c r="BT15" i="4" s="1" a="1"/>
  <c r="BT15" i="4" s="1"/>
  <c r="BQ16" i="4" a="1"/>
  <c r="BQ16" i="4" s="1"/>
  <c r="BT16" i="4" s="1" a="1"/>
  <c r="BT16" i="4" s="1"/>
  <c r="BQ17" i="4" a="1"/>
  <c r="BQ17" i="4" s="1"/>
  <c r="BT17" i="4" s="1" a="1"/>
  <c r="BT17" i="4" s="1"/>
  <c r="BQ18" i="4" a="1"/>
  <c r="BQ18" i="4" s="1"/>
  <c r="BS18" i="4" s="1" a="1"/>
  <c r="BS18" i="4" s="1"/>
  <c r="BQ19" i="4" a="1"/>
  <c r="BQ19" i="4" s="1"/>
  <c r="BS19" i="4" s="1" a="1"/>
  <c r="BS19" i="4" s="1"/>
  <c r="BQ20" i="4" a="1"/>
  <c r="BQ20" i="4" s="1"/>
  <c r="BS20" i="4" s="1" a="1"/>
  <c r="BS20" i="4" s="1"/>
  <c r="BQ21" i="4" a="1"/>
  <c r="BQ21" i="4" s="1"/>
  <c r="BS21" i="4" s="1" a="1"/>
  <c r="BS21" i="4" s="1"/>
  <c r="BQ22" i="4" a="1"/>
  <c r="BQ22" i="4" s="1"/>
  <c r="BR22" i="4" s="1"/>
  <c r="BQ23" i="4" a="1"/>
  <c r="BQ23" i="4" s="1"/>
  <c r="BR23" i="4" s="1"/>
  <c r="BQ24" i="4" a="1"/>
  <c r="BQ24" i="4" s="1"/>
  <c r="BR24" i="4" s="1"/>
  <c r="BQ25" i="4" a="1"/>
  <c r="BQ25" i="4" s="1"/>
  <c r="BR25" i="4" s="1"/>
  <c r="BQ26" i="4" a="1"/>
  <c r="BQ26" i="4" s="1"/>
  <c r="BT26" i="4" s="1" a="1"/>
  <c r="BT26" i="4" s="1"/>
  <c r="BQ27" i="4" a="1"/>
  <c r="BQ27" i="4" s="1"/>
  <c r="BT27" i="4" s="1" a="1"/>
  <c r="BT27" i="4" s="1"/>
  <c r="BQ28" i="4" a="1"/>
  <c r="BQ28" i="4" s="1"/>
  <c r="BT28" i="4" s="1" a="1"/>
  <c r="BT28" i="4" s="1"/>
  <c r="BQ29" i="4" a="1"/>
  <c r="BQ29" i="4" s="1"/>
  <c r="BT29" i="4" s="1" a="1"/>
  <c r="BT29" i="4" s="1"/>
  <c r="BQ30" i="4" a="1"/>
  <c r="BQ30" i="4" s="1"/>
  <c r="BS30" i="4" s="1" a="1"/>
  <c r="BS30" i="4" s="1"/>
  <c r="BQ31" i="4" a="1"/>
  <c r="BQ31" i="4" s="1"/>
  <c r="BS31" i="4" s="1" a="1"/>
  <c r="BS31" i="4" s="1"/>
  <c r="BQ32" i="4" a="1"/>
  <c r="BQ32" i="4" s="1"/>
  <c r="BS32" i="4" s="1" a="1"/>
  <c r="BS32" i="4" s="1"/>
  <c r="BQ33" i="4" a="1"/>
  <c r="BQ33" i="4" s="1"/>
  <c r="BS33" i="4" s="1" a="1"/>
  <c r="BS33" i="4" s="1"/>
  <c r="BP11" i="4" a="1"/>
  <c r="BP11" i="4" s="1"/>
  <c r="BO10" i="4" a="1"/>
  <c r="BO10" i="4" s="1"/>
  <c r="BO11" i="4" a="1"/>
  <c r="BO11" i="4" s="1"/>
  <c r="BN11" i="4"/>
  <c r="BM2" i="4" a="1"/>
  <c r="BM2" i="4" s="1"/>
  <c r="BO2" i="4" s="1" a="1"/>
  <c r="BO2" i="4" s="1"/>
  <c r="BM3" i="4" a="1"/>
  <c r="BM3" i="4" s="1"/>
  <c r="BO3" i="4" s="1" a="1"/>
  <c r="BO3" i="4" s="1"/>
  <c r="BM4" i="4" a="1"/>
  <c r="BM4" i="4" s="1"/>
  <c r="BO4" i="4" s="1" a="1"/>
  <c r="BO4" i="4" s="1"/>
  <c r="BM5" i="4" a="1"/>
  <c r="BM5" i="4" s="1"/>
  <c r="BO5" i="4" s="1" a="1"/>
  <c r="BO5" i="4" s="1"/>
  <c r="BM6" i="4" a="1"/>
  <c r="BM6" i="4" s="1"/>
  <c r="BP6" i="4" s="1" a="1"/>
  <c r="BP6" i="4" s="1"/>
  <c r="BM7" i="4" a="1"/>
  <c r="BM7" i="4" s="1"/>
  <c r="BP7" i="4" s="1" a="1"/>
  <c r="BP7" i="4" s="1"/>
  <c r="BM8" i="4" a="1"/>
  <c r="BM8" i="4" s="1"/>
  <c r="BP8" i="4" s="1" a="1"/>
  <c r="BP8" i="4" s="1"/>
  <c r="BM9" i="4" a="1"/>
  <c r="BM9" i="4" s="1"/>
  <c r="BO9" i="4" s="1" a="1"/>
  <c r="BO9" i="4" s="1"/>
  <c r="BM10" i="4" a="1"/>
  <c r="BM10" i="4" s="1"/>
  <c r="BN10" i="4" s="1"/>
  <c r="BM11" i="4" a="1"/>
  <c r="BM11" i="4" s="1"/>
  <c r="BM12" i="4" a="1"/>
  <c r="BM12" i="4" s="1"/>
  <c r="BN12" i="4" s="1"/>
  <c r="BM13" i="4" a="1"/>
  <c r="BM13" i="4" s="1"/>
  <c r="BN13" i="4" s="1"/>
  <c r="BM14" i="4" a="1"/>
  <c r="BM14" i="4" s="1"/>
  <c r="BN14" i="4" s="1"/>
  <c r="BM15" i="4" a="1"/>
  <c r="BM15" i="4" s="1"/>
  <c r="BN15" i="4" s="1"/>
  <c r="BM16" i="4" a="1"/>
  <c r="BM16" i="4" s="1"/>
  <c r="BN16" i="4" s="1"/>
  <c r="BM17" i="4" a="1"/>
  <c r="BM17" i="4" s="1"/>
  <c r="BN17" i="4" s="1"/>
  <c r="BM18" i="4" a="1"/>
  <c r="BM18" i="4" s="1"/>
  <c r="BP18" i="4" s="1" a="1"/>
  <c r="BP18" i="4" s="1"/>
  <c r="BM19" i="4" a="1"/>
  <c r="BM19" i="4" s="1"/>
  <c r="BP19" i="4" s="1" a="1"/>
  <c r="BP19" i="4" s="1"/>
  <c r="BM20" i="4" a="1"/>
  <c r="BM20" i="4" s="1"/>
  <c r="BO20" i="4" s="1" a="1"/>
  <c r="BO20" i="4" s="1"/>
  <c r="BM21" i="4" a="1"/>
  <c r="BM21" i="4" s="1"/>
  <c r="BO21" i="4" s="1" a="1"/>
  <c r="BO21" i="4" s="1"/>
  <c r="BM22" i="4" a="1"/>
  <c r="BM22" i="4" s="1"/>
  <c r="BN22" i="4" s="1"/>
  <c r="BM23" i="4" a="1"/>
  <c r="BM23" i="4" s="1"/>
  <c r="BN23" i="4" s="1"/>
  <c r="BM24" i="4" a="1"/>
  <c r="BM24" i="4" s="1"/>
  <c r="BN24" i="4" s="1"/>
  <c r="BM25" i="4" a="1"/>
  <c r="BM25" i="4" s="1"/>
  <c r="BN25" i="4" s="1"/>
  <c r="BM26" i="4" a="1"/>
  <c r="BM26" i="4" s="1"/>
  <c r="BN26" i="4" s="1"/>
  <c r="BM27" i="4" a="1"/>
  <c r="BM27" i="4" s="1"/>
  <c r="BN27" i="4" s="1"/>
  <c r="BM28" i="4" a="1"/>
  <c r="BM28" i="4" s="1"/>
  <c r="BN28" i="4" s="1"/>
  <c r="BM29" i="4" a="1"/>
  <c r="BM29" i="4" s="1"/>
  <c r="BN29" i="4" s="1"/>
  <c r="BM30" i="4" a="1"/>
  <c r="BM30" i="4" s="1"/>
  <c r="BP30" i="4" s="1" a="1"/>
  <c r="BP30" i="4" s="1"/>
  <c r="BM31" i="4" a="1"/>
  <c r="BM31" i="4" s="1"/>
  <c r="BP31" i="4" s="1" a="1"/>
  <c r="BP31" i="4" s="1"/>
  <c r="BM32" i="4" a="1"/>
  <c r="BM32" i="4" s="1"/>
  <c r="BP32" i="4" s="1" a="1"/>
  <c r="BP32" i="4" s="1"/>
  <c r="BM33" i="4" a="1"/>
  <c r="BM33" i="4" s="1"/>
  <c r="BP33" i="4" s="1" a="1"/>
  <c r="BP33" i="4" s="1"/>
  <c r="BK2" i="4" a="1"/>
  <c r="BK2" i="4" s="1"/>
  <c r="BK3" i="4" a="1"/>
  <c r="BK3" i="4" s="1"/>
  <c r="BK4" i="4" a="1"/>
  <c r="BK4" i="4" s="1"/>
  <c r="BK5" i="4" a="1"/>
  <c r="BK5" i="4" s="1"/>
  <c r="BK15" i="4" a="1"/>
  <c r="BK15" i="4" s="1"/>
  <c r="BK27" i="4" a="1"/>
  <c r="BK27" i="4" s="1"/>
  <c r="BJ2" i="4"/>
  <c r="BJ3" i="4"/>
  <c r="BJ4" i="4"/>
  <c r="BJ5" i="4"/>
  <c r="BJ15" i="4"/>
  <c r="BI2" i="4" a="1"/>
  <c r="BI2" i="4" s="1"/>
  <c r="BL2" i="4" s="1" a="1"/>
  <c r="BL2" i="4" s="1"/>
  <c r="BI3" i="4" a="1"/>
  <c r="BI3" i="4" s="1"/>
  <c r="BL3" i="4" s="1" a="1"/>
  <c r="BL3" i="4" s="1"/>
  <c r="BI4" i="4" a="1"/>
  <c r="BI4" i="4" s="1"/>
  <c r="BL4" i="4" s="1" a="1"/>
  <c r="BL4" i="4" s="1"/>
  <c r="BI5" i="4" a="1"/>
  <c r="BI5" i="4" s="1"/>
  <c r="BL5" i="4" s="1" a="1"/>
  <c r="BL5" i="4" s="1"/>
  <c r="BI6" i="4" a="1"/>
  <c r="BI6" i="4" s="1"/>
  <c r="BL6" i="4" s="1" a="1"/>
  <c r="BL6" i="4" s="1"/>
  <c r="BI7" i="4" a="1"/>
  <c r="BI7" i="4" s="1"/>
  <c r="BL7" i="4" s="1" a="1"/>
  <c r="BL7" i="4" s="1"/>
  <c r="BI8" i="4" a="1"/>
  <c r="BI8" i="4" s="1"/>
  <c r="BL8" i="4" s="1" a="1"/>
  <c r="BL8" i="4" s="1"/>
  <c r="BI9" i="4" a="1"/>
  <c r="BI9" i="4" s="1"/>
  <c r="BL9" i="4" s="1" a="1"/>
  <c r="BL9" i="4" s="1"/>
  <c r="BI10" i="4" a="1"/>
  <c r="BI10" i="4" s="1"/>
  <c r="BK10" i="4" s="1" a="1"/>
  <c r="BK10" i="4" s="1"/>
  <c r="BI11" i="4" a="1"/>
  <c r="BI11" i="4" s="1"/>
  <c r="BK11" i="4" s="1" a="1"/>
  <c r="BK11" i="4" s="1"/>
  <c r="BI12" i="4" a="1"/>
  <c r="BI12" i="4" s="1"/>
  <c r="BK12" i="4" s="1" a="1"/>
  <c r="BK12" i="4" s="1"/>
  <c r="BI13" i="4" a="1"/>
  <c r="BI13" i="4" s="1"/>
  <c r="BK13" i="4" s="1" a="1"/>
  <c r="BK13" i="4" s="1"/>
  <c r="BI14" i="4" a="1"/>
  <c r="BI14" i="4" s="1"/>
  <c r="BJ14" i="4" s="1"/>
  <c r="BI15" i="4" a="1"/>
  <c r="BI15" i="4" s="1"/>
  <c r="BL15" i="4" s="1" a="1"/>
  <c r="BL15" i="4" s="1"/>
  <c r="BI16" i="4" a="1"/>
  <c r="BI16" i="4" s="1"/>
  <c r="BJ16" i="4" s="1"/>
  <c r="BI17" i="4" a="1"/>
  <c r="BI17" i="4" s="1"/>
  <c r="BJ17" i="4" s="1"/>
  <c r="BI18" i="4" a="1"/>
  <c r="BI18" i="4" s="1"/>
  <c r="BL18" i="4" s="1" a="1"/>
  <c r="BL18" i="4" s="1"/>
  <c r="BI19" i="4" a="1"/>
  <c r="BI19" i="4" s="1"/>
  <c r="BL19" i="4" s="1" a="1"/>
  <c r="BL19" i="4" s="1"/>
  <c r="BI20" i="4" a="1"/>
  <c r="BI20" i="4" s="1"/>
  <c r="BL20" i="4" s="1" a="1"/>
  <c r="BL20" i="4" s="1"/>
  <c r="BI21" i="4" a="1"/>
  <c r="BI21" i="4" s="1"/>
  <c r="BL21" i="4" s="1" a="1"/>
  <c r="BL21" i="4" s="1"/>
  <c r="BI22" i="4" a="1"/>
  <c r="BI22" i="4" s="1"/>
  <c r="BK22" i="4" s="1" a="1"/>
  <c r="BK22" i="4" s="1"/>
  <c r="BI23" i="4" a="1"/>
  <c r="BI23" i="4" s="1"/>
  <c r="BK23" i="4" s="1" a="1"/>
  <c r="BK23" i="4" s="1"/>
  <c r="BI24" i="4" a="1"/>
  <c r="BI24" i="4" s="1"/>
  <c r="BK24" i="4" s="1" a="1"/>
  <c r="BK24" i="4" s="1"/>
  <c r="BI25" i="4" a="1"/>
  <c r="BI25" i="4" s="1"/>
  <c r="BK25" i="4" s="1" a="1"/>
  <c r="BK25" i="4" s="1"/>
  <c r="BI26" i="4" a="1"/>
  <c r="BI26" i="4" s="1"/>
  <c r="BJ26" i="4" s="1"/>
  <c r="BI27" i="4" a="1"/>
  <c r="BI27" i="4" s="1"/>
  <c r="BJ27" i="4" s="1"/>
  <c r="BI28" i="4" a="1"/>
  <c r="BI28" i="4" s="1"/>
  <c r="BJ28" i="4" s="1"/>
  <c r="BI29" i="4" a="1"/>
  <c r="BI29" i="4" s="1"/>
  <c r="BJ29" i="4" s="1"/>
  <c r="BI30" i="4" a="1"/>
  <c r="BI30" i="4" s="1"/>
  <c r="BL30" i="4" s="1" a="1"/>
  <c r="BL30" i="4" s="1"/>
  <c r="BI31" i="4" a="1"/>
  <c r="BI31" i="4" s="1"/>
  <c r="BL31" i="4" s="1" a="1"/>
  <c r="BL31" i="4" s="1"/>
  <c r="BI32" i="4" a="1"/>
  <c r="BI32" i="4" s="1"/>
  <c r="BL32" i="4" s="1" a="1"/>
  <c r="BL32" i="4" s="1"/>
  <c r="BI33" i="4" a="1"/>
  <c r="BI33" i="4" s="1"/>
  <c r="BL33" i="4" s="1" a="1"/>
  <c r="BL33" i="4" s="1"/>
  <c r="BG5" i="4" a="1"/>
  <c r="BG5" i="4" s="1"/>
  <c r="BG7" i="4" a="1"/>
  <c r="BG7" i="4" s="1"/>
  <c r="BG19" i="4" a="1"/>
  <c r="BG19" i="4" s="1"/>
  <c r="BF6" i="4"/>
  <c r="BF7" i="4"/>
  <c r="BF8" i="4"/>
  <c r="BF9" i="4"/>
  <c r="BF19" i="4"/>
  <c r="BE2" i="4" a="1"/>
  <c r="BE2" i="4" s="1"/>
  <c r="BG2" i="4" s="1" a="1"/>
  <c r="BG2" i="4" s="1"/>
  <c r="BE3" i="4" a="1"/>
  <c r="BE3" i="4" s="1"/>
  <c r="BG3" i="4" s="1" a="1"/>
  <c r="BG3" i="4" s="1"/>
  <c r="BE4" i="4" a="1"/>
  <c r="BE4" i="4" s="1"/>
  <c r="BG4" i="4" s="1" a="1"/>
  <c r="BG4" i="4" s="1"/>
  <c r="BE5" i="4" a="1"/>
  <c r="BE5" i="4" s="1"/>
  <c r="BH5" i="4" s="1" a="1"/>
  <c r="BH5" i="4" s="1"/>
  <c r="BE6" i="4" a="1"/>
  <c r="BE6" i="4" s="1"/>
  <c r="BG6" i="4" s="1" a="1"/>
  <c r="BG6" i="4" s="1"/>
  <c r="BE7" i="4" a="1"/>
  <c r="BE7" i="4" s="1"/>
  <c r="BH7" i="4" s="1" a="1"/>
  <c r="BH7" i="4" s="1"/>
  <c r="BE8" i="4" a="1"/>
  <c r="BE8" i="4" s="1"/>
  <c r="BG8" i="4" s="1" a="1"/>
  <c r="BG8" i="4" s="1"/>
  <c r="BE9" i="4" a="1"/>
  <c r="BE9" i="4" s="1"/>
  <c r="BG9" i="4" s="1" a="1"/>
  <c r="BG9" i="4" s="1"/>
  <c r="BE10" i="4" a="1"/>
  <c r="BE10" i="4" s="1"/>
  <c r="BH10" i="4" s="1" a="1"/>
  <c r="BH10" i="4" s="1"/>
  <c r="BE11" i="4" a="1"/>
  <c r="BE11" i="4" s="1"/>
  <c r="BH11" i="4" s="1" a="1"/>
  <c r="BH11" i="4" s="1"/>
  <c r="BE12" i="4" a="1"/>
  <c r="BE12" i="4" s="1"/>
  <c r="BH12" i="4" s="1" a="1"/>
  <c r="BH12" i="4" s="1"/>
  <c r="BE13" i="4" a="1"/>
  <c r="BE13" i="4" s="1"/>
  <c r="BH13" i="4" s="1" a="1"/>
  <c r="BH13" i="4" s="1"/>
  <c r="BE14" i="4" a="1"/>
  <c r="BE14" i="4" s="1"/>
  <c r="BG14" i="4" s="1" a="1"/>
  <c r="BG14" i="4" s="1"/>
  <c r="BE15" i="4" a="1"/>
  <c r="BE15" i="4" s="1"/>
  <c r="BG15" i="4" s="1" a="1"/>
  <c r="BG15" i="4" s="1"/>
  <c r="BE16" i="4" a="1"/>
  <c r="BE16" i="4" s="1"/>
  <c r="BG16" i="4" s="1" a="1"/>
  <c r="BG16" i="4" s="1"/>
  <c r="BE17" i="4" a="1"/>
  <c r="BE17" i="4" s="1"/>
  <c r="BG17" i="4" s="1" a="1"/>
  <c r="BG17" i="4" s="1"/>
  <c r="BE18" i="4" a="1"/>
  <c r="BE18" i="4" s="1"/>
  <c r="BF18" i="4" s="1"/>
  <c r="BE19" i="4" a="1"/>
  <c r="BE19" i="4" s="1"/>
  <c r="BH19" i="4" s="1" a="1"/>
  <c r="BH19" i="4" s="1"/>
  <c r="BE20" i="4" a="1"/>
  <c r="BE20" i="4" s="1"/>
  <c r="BF20" i="4" s="1"/>
  <c r="BE21" i="4" a="1"/>
  <c r="BE21" i="4" s="1"/>
  <c r="BF21" i="4" s="1"/>
  <c r="BE22" i="4" a="1"/>
  <c r="BE22" i="4" s="1"/>
  <c r="BH22" i="4" s="1" a="1"/>
  <c r="BH22" i="4" s="1"/>
  <c r="BE23" i="4" a="1"/>
  <c r="BE23" i="4" s="1"/>
  <c r="BH23" i="4" s="1" a="1"/>
  <c r="BH23" i="4" s="1"/>
  <c r="BE24" i="4" a="1"/>
  <c r="BE24" i="4" s="1"/>
  <c r="BH24" i="4" s="1" a="1"/>
  <c r="BH24" i="4" s="1"/>
  <c r="BE25" i="4" a="1"/>
  <c r="BE25" i="4" s="1"/>
  <c r="BH25" i="4" s="1" a="1"/>
  <c r="BH25" i="4" s="1"/>
  <c r="BE26" i="4" a="1"/>
  <c r="BE26" i="4" s="1"/>
  <c r="BG26" i="4" s="1" a="1"/>
  <c r="BG26" i="4" s="1"/>
  <c r="BE27" i="4" a="1"/>
  <c r="BE27" i="4" s="1"/>
  <c r="BG27" i="4" s="1" a="1"/>
  <c r="BG27" i="4" s="1"/>
  <c r="BE28" i="4" a="1"/>
  <c r="BE28" i="4" s="1"/>
  <c r="BG28" i="4" s="1" a="1"/>
  <c r="BG28" i="4" s="1"/>
  <c r="BE29" i="4" a="1"/>
  <c r="BE29" i="4" s="1"/>
  <c r="BG29" i="4" s="1" a="1"/>
  <c r="BG29" i="4" s="1"/>
  <c r="BE30" i="4" a="1"/>
  <c r="BE30" i="4" s="1"/>
  <c r="BF30" i="4" s="1"/>
  <c r="BE31" i="4" a="1"/>
  <c r="BE31" i="4" s="1"/>
  <c r="BF31" i="4" s="1"/>
  <c r="BE32" i="4" a="1"/>
  <c r="BE32" i="4" s="1"/>
  <c r="BF32" i="4" s="1"/>
  <c r="BE33" i="4" a="1"/>
  <c r="BE33" i="4" s="1"/>
  <c r="BF33" i="4" s="1"/>
  <c r="BD7" i="4" a="1"/>
  <c r="BD7" i="4" s="1"/>
  <c r="BD8" i="4" a="1"/>
  <c r="BD8" i="4" s="1"/>
  <c r="BD20" i="4" a="1"/>
  <c r="BD20" i="4" s="1"/>
  <c r="BC8" i="4" a="1"/>
  <c r="BC8" i="4" s="1"/>
  <c r="BC10" i="4" a="1"/>
  <c r="BC10" i="4" s="1"/>
  <c r="BC11" i="4" a="1"/>
  <c r="BC11" i="4" s="1"/>
  <c r="BC20" i="4" a="1"/>
  <c r="BC20" i="4" s="1"/>
  <c r="BC32" i="4" a="1"/>
  <c r="BC32" i="4" s="1"/>
  <c r="BB8" i="4"/>
  <c r="BB12" i="4"/>
  <c r="BB24" i="4"/>
  <c r="BA2" i="4" a="1"/>
  <c r="BA2" i="4" s="1"/>
  <c r="BD2" i="4" s="1" a="1"/>
  <c r="BD2" i="4" s="1"/>
  <c r="BA3" i="4" a="1"/>
  <c r="BA3" i="4" s="1"/>
  <c r="BD3" i="4" s="1" a="1"/>
  <c r="BD3" i="4" s="1"/>
  <c r="BA4" i="4" a="1"/>
  <c r="BA4" i="4" s="1"/>
  <c r="BD4" i="4" s="1" a="1"/>
  <c r="BD4" i="4" s="1"/>
  <c r="BA5" i="4" a="1"/>
  <c r="BA5" i="4" s="1"/>
  <c r="BD5" i="4" s="1" a="1"/>
  <c r="BD5" i="4" s="1"/>
  <c r="BA6" i="4" a="1"/>
  <c r="BA6" i="4" s="1"/>
  <c r="BC6" i="4" s="1" a="1"/>
  <c r="BC6" i="4" s="1"/>
  <c r="BA7" i="4" a="1"/>
  <c r="BA7" i="4" s="1"/>
  <c r="BB7" i="4" s="1"/>
  <c r="BA8" i="4" a="1"/>
  <c r="BA8" i="4" s="1"/>
  <c r="BA9" i="4" a="1"/>
  <c r="BA9" i="4" s="1"/>
  <c r="BB9" i="4" s="1"/>
  <c r="BA10" i="4" a="1"/>
  <c r="BA10" i="4" s="1"/>
  <c r="BB10" i="4" s="1"/>
  <c r="BA11" i="4" a="1"/>
  <c r="BA11" i="4" s="1"/>
  <c r="BB11" i="4" s="1"/>
  <c r="BA12" i="4" a="1"/>
  <c r="BA12" i="4" s="1"/>
  <c r="BC12" i="4" s="1" a="1"/>
  <c r="BC12" i="4" s="1"/>
  <c r="BA13" i="4" a="1"/>
  <c r="BA13" i="4" s="1"/>
  <c r="BB13" i="4" s="1"/>
  <c r="BA14" i="4" a="1"/>
  <c r="BA14" i="4" s="1"/>
  <c r="BD14" i="4" s="1" a="1"/>
  <c r="BD14" i="4" s="1"/>
  <c r="BA15" i="4" a="1"/>
  <c r="BA15" i="4" s="1"/>
  <c r="BD15" i="4" s="1" a="1"/>
  <c r="BD15" i="4" s="1"/>
  <c r="BA16" i="4" a="1"/>
  <c r="BA16" i="4" s="1"/>
  <c r="BC16" i="4" s="1" a="1"/>
  <c r="BC16" i="4" s="1"/>
  <c r="BA17" i="4" a="1"/>
  <c r="BA17" i="4" s="1"/>
  <c r="BC17" i="4" s="1" a="1"/>
  <c r="BC17" i="4" s="1"/>
  <c r="BA18" i="4" a="1"/>
  <c r="BA18" i="4" s="1"/>
  <c r="BC18" i="4" s="1" a="1"/>
  <c r="BC18" i="4" s="1"/>
  <c r="BA19" i="4" a="1"/>
  <c r="BA19" i="4" s="1"/>
  <c r="BB19" i="4" s="1"/>
  <c r="BA20" i="4" a="1"/>
  <c r="BA20" i="4" s="1"/>
  <c r="BB20" i="4" s="1"/>
  <c r="BA21" i="4" a="1"/>
  <c r="BA21" i="4" s="1"/>
  <c r="BB21" i="4" s="1"/>
  <c r="BA22" i="4" a="1"/>
  <c r="BA22" i="4" s="1"/>
  <c r="BB22" i="4" s="1"/>
  <c r="BA23" i="4" a="1"/>
  <c r="BA23" i="4" s="1"/>
  <c r="BB23" i="4" s="1"/>
  <c r="BA24" i="4" a="1"/>
  <c r="BA24" i="4" s="1"/>
  <c r="BC24" i="4" s="1" a="1"/>
  <c r="BC24" i="4" s="1"/>
  <c r="BA25" i="4" a="1"/>
  <c r="BA25" i="4" s="1"/>
  <c r="BB25" i="4" s="1"/>
  <c r="BA26" i="4" a="1"/>
  <c r="BA26" i="4" s="1"/>
  <c r="BD26" i="4" s="1" a="1"/>
  <c r="BD26" i="4" s="1"/>
  <c r="BA27" i="4" a="1"/>
  <c r="BA27" i="4" s="1"/>
  <c r="BC27" i="4" s="1" a="1"/>
  <c r="BC27" i="4" s="1"/>
  <c r="BA28" i="4" a="1"/>
  <c r="BA28" i="4" s="1"/>
  <c r="BC28" i="4" s="1" a="1"/>
  <c r="BC28" i="4" s="1"/>
  <c r="BA29" i="4" a="1"/>
  <c r="BA29" i="4" s="1"/>
  <c r="BC29" i="4" s="1" a="1"/>
  <c r="BC29" i="4" s="1"/>
  <c r="BA30" i="4" a="1"/>
  <c r="BA30" i="4" s="1"/>
  <c r="BC30" i="4" s="1" a="1"/>
  <c r="BC30" i="4" s="1"/>
  <c r="BA31" i="4" a="1"/>
  <c r="BA31" i="4" s="1"/>
  <c r="BB31" i="4" s="1"/>
  <c r="BA32" i="4" a="1"/>
  <c r="BA32" i="4" s="1"/>
  <c r="BB32" i="4" s="1"/>
  <c r="BA33" i="4" a="1"/>
  <c r="BA33" i="4" s="1"/>
  <c r="BB33" i="4" s="1"/>
  <c r="AY3" i="4" a="1"/>
  <c r="AY3" i="4" s="1"/>
  <c r="AY12" i="4" a="1"/>
  <c r="AY12" i="4" s="1"/>
  <c r="AY13" i="4" a="1"/>
  <c r="AY13" i="4" s="1"/>
  <c r="AY15" i="4" a="1"/>
  <c r="AY15" i="4" s="1"/>
  <c r="AY24" i="4" a="1"/>
  <c r="AY24" i="4" s="1"/>
  <c r="AX3" i="4"/>
  <c r="AX4" i="4"/>
  <c r="AX5" i="4"/>
  <c r="AX15" i="4"/>
  <c r="AX16" i="4"/>
  <c r="AX28" i="4"/>
  <c r="AW2" i="4" a="1"/>
  <c r="AW2" i="4" s="1"/>
  <c r="AX2" i="4" s="1"/>
  <c r="AW3" i="4" a="1"/>
  <c r="AW3" i="4" s="1"/>
  <c r="AZ3" i="4" s="1" a="1"/>
  <c r="AZ3" i="4" s="1"/>
  <c r="AW4" i="4" a="1"/>
  <c r="AW4" i="4" s="1"/>
  <c r="AZ4" i="4" s="1" a="1"/>
  <c r="AZ4" i="4" s="1"/>
  <c r="AW5" i="4" a="1"/>
  <c r="AW5" i="4" s="1"/>
  <c r="AZ5" i="4" s="1" a="1"/>
  <c r="AZ5" i="4" s="1"/>
  <c r="AW6" i="4" a="1"/>
  <c r="AW6" i="4" s="1"/>
  <c r="AZ6" i="4" s="1" a="1"/>
  <c r="AZ6" i="4" s="1"/>
  <c r="AW7" i="4" a="1"/>
  <c r="AW7" i="4" s="1"/>
  <c r="AY7" i="4" s="1" a="1"/>
  <c r="AY7" i="4" s="1"/>
  <c r="AW8" i="4" a="1"/>
  <c r="AW8" i="4" s="1"/>
  <c r="AY8" i="4" s="1" a="1"/>
  <c r="AY8" i="4" s="1"/>
  <c r="AW9" i="4" a="1"/>
  <c r="AW9" i="4" s="1"/>
  <c r="AY9" i="4" s="1" a="1"/>
  <c r="AY9" i="4" s="1"/>
  <c r="AW10" i="4" a="1"/>
  <c r="AW10" i="4" s="1"/>
  <c r="AY10" i="4" s="1" a="1"/>
  <c r="AY10" i="4" s="1"/>
  <c r="AW11" i="4" a="1"/>
  <c r="AW11" i="4" s="1"/>
  <c r="AX11" i="4" s="1"/>
  <c r="AW12" i="4" a="1"/>
  <c r="AW12" i="4" s="1"/>
  <c r="AX12" i="4" s="1"/>
  <c r="AW13" i="4" a="1"/>
  <c r="AW13" i="4" s="1"/>
  <c r="AX13" i="4" s="1"/>
  <c r="AW14" i="4" a="1"/>
  <c r="AW14" i="4" s="1"/>
  <c r="AX14" i="4" s="1"/>
  <c r="AW15" i="4" a="1"/>
  <c r="AW15" i="4" s="1"/>
  <c r="AZ15" i="4" s="1" a="1"/>
  <c r="AZ15" i="4" s="1"/>
  <c r="AW16" i="4" a="1"/>
  <c r="AW16" i="4" s="1"/>
  <c r="AZ16" i="4" s="1" a="1"/>
  <c r="AZ16" i="4" s="1"/>
  <c r="AW17" i="4" a="1"/>
  <c r="AW17" i="4" s="1"/>
  <c r="AZ17" i="4" s="1" a="1"/>
  <c r="AZ17" i="4" s="1"/>
  <c r="AW18" i="4" a="1"/>
  <c r="AW18" i="4" s="1"/>
  <c r="AZ18" i="4" s="1" a="1"/>
  <c r="AZ18" i="4" s="1"/>
  <c r="AW19" i="4" a="1"/>
  <c r="AW19" i="4" s="1"/>
  <c r="AY19" i="4" s="1" a="1"/>
  <c r="AY19" i="4" s="1"/>
  <c r="AW20" i="4" a="1"/>
  <c r="AW20" i="4" s="1"/>
  <c r="AY20" i="4" s="1" a="1"/>
  <c r="AY20" i="4" s="1"/>
  <c r="AW21" i="4" a="1"/>
  <c r="AW21" i="4" s="1"/>
  <c r="AY21" i="4" s="1" a="1"/>
  <c r="AY21" i="4" s="1"/>
  <c r="AW22" i="4" a="1"/>
  <c r="AW22" i="4" s="1"/>
  <c r="AY22" i="4" s="1" a="1"/>
  <c r="AY22" i="4" s="1"/>
  <c r="AW23" i="4" a="1"/>
  <c r="AW23" i="4" s="1"/>
  <c r="AX23" i="4" s="1"/>
  <c r="AW24" i="4" a="1"/>
  <c r="AW24" i="4" s="1"/>
  <c r="AX24" i="4" s="1"/>
  <c r="AW25" i="4" a="1"/>
  <c r="AW25" i="4" s="1"/>
  <c r="AX25" i="4" s="1"/>
  <c r="AW26" i="4" a="1"/>
  <c r="AW26" i="4" s="1"/>
  <c r="AX26" i="4" s="1"/>
  <c r="AW27" i="4" a="1"/>
  <c r="AW27" i="4" s="1"/>
  <c r="AZ27" i="4" s="1" a="1"/>
  <c r="AZ27" i="4" s="1"/>
  <c r="AW28" i="4" a="1"/>
  <c r="AW28" i="4" s="1"/>
  <c r="AZ28" i="4" s="1" a="1"/>
  <c r="AZ28" i="4" s="1"/>
  <c r="AW29" i="4" a="1"/>
  <c r="AW29" i="4" s="1"/>
  <c r="AZ29" i="4" s="1" a="1"/>
  <c r="AZ29" i="4" s="1"/>
  <c r="AW30" i="4" a="1"/>
  <c r="AW30" i="4" s="1"/>
  <c r="AZ30" i="4" s="1" a="1"/>
  <c r="AZ30" i="4" s="1"/>
  <c r="AW31" i="4" a="1"/>
  <c r="AW31" i="4" s="1"/>
  <c r="AY31" i="4" s="1" a="1"/>
  <c r="AY31" i="4" s="1"/>
  <c r="AW32" i="4" a="1"/>
  <c r="AW32" i="4" s="1"/>
  <c r="AY32" i="4" s="1" a="1"/>
  <c r="AY32" i="4" s="1"/>
  <c r="AW33" i="4" a="1"/>
  <c r="AW33" i="4" s="1"/>
  <c r="AY33" i="4" s="1" a="1"/>
  <c r="AY33" i="4" s="1"/>
  <c r="AU2" i="4" a="1"/>
  <c r="AU2" i="4" s="1"/>
  <c r="AU4" i="4" a="1"/>
  <c r="AU4" i="4" s="1"/>
  <c r="AU5" i="4" a="1"/>
  <c r="AU5" i="4" s="1"/>
  <c r="AU7" i="4" a="1"/>
  <c r="AU7" i="4" s="1"/>
  <c r="AU16" i="4" a="1"/>
  <c r="AU16" i="4" s="1"/>
  <c r="AU17" i="4" a="1"/>
  <c r="AU17" i="4" s="1"/>
  <c r="AU28" i="4" a="1"/>
  <c r="AU28" i="4" s="1"/>
  <c r="AT7" i="4"/>
  <c r="AT8" i="4"/>
  <c r="AT9" i="4"/>
  <c r="AT20" i="4"/>
  <c r="AT32" i="4"/>
  <c r="AS2" i="4" a="1"/>
  <c r="AS2" i="4" s="1"/>
  <c r="AV2" i="4" s="1" a="1"/>
  <c r="AV2" i="4" s="1"/>
  <c r="AS3" i="4" a="1"/>
  <c r="AS3" i="4" s="1"/>
  <c r="AT3" i="4" s="1"/>
  <c r="AS4" i="4" a="1"/>
  <c r="AS4" i="4" s="1"/>
  <c r="AT4" i="4" s="1"/>
  <c r="AS5" i="4" a="1"/>
  <c r="AS5" i="4" s="1"/>
  <c r="AT5" i="4" s="1"/>
  <c r="AS6" i="4" a="1"/>
  <c r="AS6" i="4" s="1"/>
  <c r="AT6" i="4" s="1"/>
  <c r="AS7" i="4" a="1"/>
  <c r="AS7" i="4" s="1"/>
  <c r="AV7" i="4" s="1" a="1"/>
  <c r="AV7" i="4" s="1"/>
  <c r="AS8" i="4" a="1"/>
  <c r="AS8" i="4" s="1"/>
  <c r="AV8" i="4" s="1" a="1"/>
  <c r="AV8" i="4" s="1"/>
  <c r="AS9" i="4" a="1"/>
  <c r="AS9" i="4" s="1"/>
  <c r="AV9" i="4" s="1" a="1"/>
  <c r="AV9" i="4" s="1"/>
  <c r="AS10" i="4" a="1"/>
  <c r="AS10" i="4" s="1"/>
  <c r="AV10" i="4" s="1" a="1"/>
  <c r="AV10" i="4" s="1"/>
  <c r="AS11" i="4" a="1"/>
  <c r="AS11" i="4" s="1"/>
  <c r="AU11" i="4" s="1" a="1"/>
  <c r="AU11" i="4" s="1"/>
  <c r="AS12" i="4" a="1"/>
  <c r="AS12" i="4" s="1"/>
  <c r="AU12" i="4" s="1" a="1"/>
  <c r="AU12" i="4" s="1"/>
  <c r="AS13" i="4" a="1"/>
  <c r="AS13" i="4" s="1"/>
  <c r="AU13" i="4" s="1" a="1"/>
  <c r="AU13" i="4" s="1"/>
  <c r="AS14" i="4" a="1"/>
  <c r="AS14" i="4" s="1"/>
  <c r="AU14" i="4" s="1" a="1"/>
  <c r="AU14" i="4" s="1"/>
  <c r="AS15" i="4" a="1"/>
  <c r="AS15" i="4" s="1"/>
  <c r="AT15" i="4" s="1"/>
  <c r="AS16" i="4" a="1"/>
  <c r="AS16" i="4" s="1"/>
  <c r="AT16" i="4" s="1"/>
  <c r="AS17" i="4" a="1"/>
  <c r="AS17" i="4" s="1"/>
  <c r="AT17" i="4" s="1"/>
  <c r="AS18" i="4" a="1"/>
  <c r="AS18" i="4" s="1"/>
  <c r="AT18" i="4" s="1"/>
  <c r="AS19" i="4" a="1"/>
  <c r="AS19" i="4" s="1"/>
  <c r="AV19" i="4" s="1" a="1"/>
  <c r="AV19" i="4" s="1"/>
  <c r="AS20" i="4" a="1"/>
  <c r="AS20" i="4" s="1"/>
  <c r="AV20" i="4" s="1" a="1"/>
  <c r="AV20" i="4" s="1"/>
  <c r="AS21" i="4" a="1"/>
  <c r="AS21" i="4" s="1"/>
  <c r="AV21" i="4" s="1" a="1"/>
  <c r="AV21" i="4" s="1"/>
  <c r="AS22" i="4" a="1"/>
  <c r="AS22" i="4" s="1"/>
  <c r="AV22" i="4" s="1" a="1"/>
  <c r="AV22" i="4" s="1"/>
  <c r="AS23" i="4" a="1"/>
  <c r="AS23" i="4" s="1"/>
  <c r="AU23" i="4" s="1" a="1"/>
  <c r="AU23" i="4" s="1"/>
  <c r="AS24" i="4" a="1"/>
  <c r="AS24" i="4" s="1"/>
  <c r="AU24" i="4" s="1" a="1"/>
  <c r="AU24" i="4" s="1"/>
  <c r="AS25" i="4" a="1"/>
  <c r="AS25" i="4" s="1"/>
  <c r="AU25" i="4" s="1" a="1"/>
  <c r="AU25" i="4" s="1"/>
  <c r="AS26" i="4" a="1"/>
  <c r="AS26" i="4" s="1"/>
  <c r="AU26" i="4" s="1" a="1"/>
  <c r="AU26" i="4" s="1"/>
  <c r="AS27" i="4" a="1"/>
  <c r="AS27" i="4" s="1"/>
  <c r="AT27" i="4" s="1"/>
  <c r="AS28" i="4" a="1"/>
  <c r="AS28" i="4" s="1"/>
  <c r="AT28" i="4" s="1"/>
  <c r="AS29" i="4" a="1"/>
  <c r="AS29" i="4" s="1"/>
  <c r="AT29" i="4" s="1"/>
  <c r="AS30" i="4" a="1"/>
  <c r="AS30" i="4" s="1"/>
  <c r="AT30" i="4" s="1"/>
  <c r="AS31" i="4" a="1"/>
  <c r="AS31" i="4" s="1"/>
  <c r="AV31" i="4" s="1" a="1"/>
  <c r="AV31" i="4" s="1"/>
  <c r="AS32" i="4" a="1"/>
  <c r="AS32" i="4" s="1"/>
  <c r="AV32" i="4" s="1" a="1"/>
  <c r="AV32" i="4" s="1"/>
  <c r="AS33" i="4" a="1"/>
  <c r="AS33" i="4" s="1"/>
  <c r="AV33" i="4" s="1" a="1"/>
  <c r="AV33" i="4" s="1"/>
  <c r="AQ8" i="4" a="1"/>
  <c r="AQ8" i="4" s="1"/>
  <c r="AQ9" i="4" a="1"/>
  <c r="AQ9" i="4" s="1"/>
  <c r="AQ11" i="4" a="1"/>
  <c r="AQ11" i="4" s="1"/>
  <c r="AQ20" i="4" a="1"/>
  <c r="AQ20" i="4" s="1"/>
  <c r="AP11" i="4"/>
  <c r="AP12" i="4"/>
  <c r="AO2" i="4" a="1"/>
  <c r="AO2" i="4" s="1"/>
  <c r="AR2" i="4" s="1" a="1"/>
  <c r="AR2" i="4" s="1"/>
  <c r="AO3" i="4" a="1"/>
  <c r="AO3" i="4" s="1"/>
  <c r="AQ3" i="4" s="1" a="1"/>
  <c r="AQ3" i="4" s="1"/>
  <c r="AO4" i="4" a="1"/>
  <c r="AO4" i="4" s="1"/>
  <c r="AQ4" i="4" s="1" a="1"/>
  <c r="AQ4" i="4" s="1"/>
  <c r="AO5" i="4" a="1"/>
  <c r="AO5" i="4" s="1"/>
  <c r="AQ5" i="4" s="1" a="1"/>
  <c r="AQ5" i="4" s="1"/>
  <c r="AO6" i="4" a="1"/>
  <c r="AO6" i="4" s="1"/>
  <c r="AQ6" i="4" s="1" a="1"/>
  <c r="AQ6" i="4" s="1"/>
  <c r="AO7" i="4" a="1"/>
  <c r="AO7" i="4" s="1"/>
  <c r="AP7" i="4" s="1"/>
  <c r="AO8" i="4" a="1"/>
  <c r="AO8" i="4" s="1"/>
  <c r="AP8" i="4" s="1"/>
  <c r="AO9" i="4" a="1"/>
  <c r="AO9" i="4" s="1"/>
  <c r="AP9" i="4" s="1"/>
  <c r="AO10" i="4" a="1"/>
  <c r="AO10" i="4" s="1"/>
  <c r="AP10" i="4" s="1"/>
  <c r="AO11" i="4" a="1"/>
  <c r="AO11" i="4" s="1"/>
  <c r="AR11" i="4" s="1" a="1"/>
  <c r="AR11" i="4" s="1"/>
  <c r="AO12" i="4" a="1"/>
  <c r="AO12" i="4" s="1"/>
  <c r="AR12" i="4" s="1" a="1"/>
  <c r="AR12" i="4" s="1"/>
  <c r="AO13" i="4" a="1"/>
  <c r="AO13" i="4" s="1"/>
  <c r="AR13" i="4" s="1" a="1"/>
  <c r="AR13" i="4" s="1"/>
  <c r="AO14" i="4" a="1"/>
  <c r="AO14" i="4" s="1"/>
  <c r="AR14" i="4" s="1" a="1"/>
  <c r="AR14" i="4" s="1"/>
  <c r="AO15" i="4" a="1"/>
  <c r="AO15" i="4" s="1"/>
  <c r="AQ15" i="4" s="1" a="1"/>
  <c r="AQ15" i="4" s="1"/>
  <c r="AO16" i="4" a="1"/>
  <c r="AO16" i="4" s="1"/>
  <c r="AQ16" i="4" s="1" a="1"/>
  <c r="AQ16" i="4" s="1"/>
  <c r="AO17" i="4" a="1"/>
  <c r="AO17" i="4" s="1"/>
  <c r="AQ17" i="4" s="1" a="1"/>
  <c r="AQ17" i="4" s="1"/>
  <c r="AO18" i="4" a="1"/>
  <c r="AO18" i="4" s="1"/>
  <c r="AQ18" i="4" s="1" a="1"/>
  <c r="AQ18" i="4" s="1"/>
  <c r="AO19" i="4" a="1"/>
  <c r="AO19" i="4" s="1"/>
  <c r="AP19" i="4" s="1"/>
  <c r="AO20" i="4" a="1"/>
  <c r="AO20" i="4" s="1"/>
  <c r="AP20" i="4" s="1"/>
  <c r="AO21" i="4" a="1"/>
  <c r="AO21" i="4" s="1"/>
  <c r="AP21" i="4" s="1"/>
  <c r="AO22" i="4" a="1"/>
  <c r="AO22" i="4" s="1"/>
  <c r="AP22" i="4" s="1"/>
  <c r="AO23" i="4" a="1"/>
  <c r="AO23" i="4" s="1"/>
  <c r="AR23" i="4" s="1" a="1"/>
  <c r="AR23" i="4" s="1"/>
  <c r="AO24" i="4" a="1"/>
  <c r="AO24" i="4" s="1"/>
  <c r="AR24" i="4" s="1" a="1"/>
  <c r="AR24" i="4" s="1"/>
  <c r="AO25" i="4" a="1"/>
  <c r="AO25" i="4" s="1"/>
  <c r="AR25" i="4" s="1" a="1"/>
  <c r="AR25" i="4" s="1"/>
  <c r="AO26" i="4" a="1"/>
  <c r="AO26" i="4" s="1"/>
  <c r="AR26" i="4" s="1" a="1"/>
  <c r="AR26" i="4" s="1"/>
  <c r="AO27" i="4" a="1"/>
  <c r="AO27" i="4" s="1"/>
  <c r="AQ27" i="4" s="1" a="1"/>
  <c r="AQ27" i="4" s="1"/>
  <c r="AO28" i="4" a="1"/>
  <c r="AO28" i="4" s="1"/>
  <c r="AQ28" i="4" s="1" a="1"/>
  <c r="AQ28" i="4" s="1"/>
  <c r="AO29" i="4" a="1"/>
  <c r="AO29" i="4" s="1"/>
  <c r="AQ29" i="4" s="1" a="1"/>
  <c r="AQ29" i="4" s="1"/>
  <c r="AO30" i="4" a="1"/>
  <c r="AO30" i="4" s="1"/>
  <c r="AQ30" i="4" s="1" a="1"/>
  <c r="AQ30" i="4" s="1"/>
  <c r="AO31" i="4" a="1"/>
  <c r="AO31" i="4" s="1"/>
  <c r="AP31" i="4" s="1"/>
  <c r="AO32" i="4" a="1"/>
  <c r="AO32" i="4" s="1"/>
  <c r="AP32" i="4" s="1"/>
  <c r="AO33" i="4" a="1"/>
  <c r="AO33" i="4" s="1"/>
  <c r="AP33" i="4" s="1"/>
  <c r="H46" i="4"/>
  <c r="H45" i="4"/>
  <c r="H44" i="4"/>
  <c r="G46" i="4"/>
  <c r="G45" i="4"/>
  <c r="G44" i="4"/>
  <c r="F46" i="4"/>
  <c r="F45" i="4"/>
  <c r="F44" i="4"/>
  <c r="E46" i="4"/>
  <c r="E45" i="4"/>
  <c r="E44" i="4"/>
  <c r="D46" i="4" a="1"/>
  <c r="D46" i="4" s="1"/>
  <c r="D45" i="4" a="1"/>
  <c r="D45" i="4" s="1"/>
  <c r="D44" i="4" a="1"/>
  <c r="D44" i="4" s="1"/>
  <c r="C46" i="4"/>
  <c r="C45" i="4"/>
  <c r="C44" i="4"/>
  <c r="B46" i="4"/>
  <c r="B45" i="4"/>
  <c r="B44" i="4"/>
  <c r="AN33" i="4" a="1"/>
  <c r="AN33" i="4" s="1"/>
  <c r="AN32" i="4" a="1"/>
  <c r="AN32" i="4" s="1"/>
  <c r="AN31" i="4" a="1"/>
  <c r="AN31" i="4" s="1"/>
  <c r="AN30" i="4" a="1"/>
  <c r="AN30" i="4" s="1"/>
  <c r="AN29" i="4" a="1"/>
  <c r="AN29" i="4" s="1"/>
  <c r="AN28" i="4" a="1"/>
  <c r="AN28" i="4" s="1"/>
  <c r="AN27" i="4" a="1"/>
  <c r="AN27" i="4" s="1"/>
  <c r="AN26" i="4" a="1"/>
  <c r="AN26" i="4" s="1"/>
  <c r="AN25" i="4" a="1"/>
  <c r="AN25" i="4" s="1"/>
  <c r="AN24" i="4" a="1"/>
  <c r="AN24" i="4" s="1"/>
  <c r="AN23" i="4" a="1"/>
  <c r="AN23" i="4" s="1"/>
  <c r="AN22" i="4" a="1"/>
  <c r="AN22" i="4" s="1"/>
  <c r="AN21" i="4" a="1"/>
  <c r="AN21" i="4" s="1"/>
  <c r="AN20" i="4" a="1"/>
  <c r="AN20" i="4" s="1"/>
  <c r="AN19" i="4" a="1"/>
  <c r="AN19" i="4" s="1"/>
  <c r="AN18" i="4" a="1"/>
  <c r="AN18" i="4" s="1"/>
  <c r="AN17" i="4" a="1"/>
  <c r="AN17" i="4" s="1"/>
  <c r="AN16" i="4" a="1"/>
  <c r="AN16" i="4" s="1"/>
  <c r="AN15" i="4" a="1"/>
  <c r="AN15" i="4" s="1"/>
  <c r="AN14" i="4" a="1"/>
  <c r="AN14" i="4" s="1"/>
  <c r="AN13" i="4" a="1"/>
  <c r="AN13" i="4" s="1"/>
  <c r="AN12" i="4" a="1"/>
  <c r="AN12" i="4" s="1"/>
  <c r="AN11" i="4" a="1"/>
  <c r="AN11" i="4" s="1"/>
  <c r="AN10" i="4" a="1"/>
  <c r="AN10" i="4" s="1"/>
  <c r="AN9" i="4" a="1"/>
  <c r="AN9" i="4" s="1"/>
  <c r="AN8" i="4" a="1"/>
  <c r="AN8" i="4" s="1"/>
  <c r="AN7" i="4" a="1"/>
  <c r="AN7" i="4" s="1"/>
  <c r="AN6" i="4" a="1"/>
  <c r="AN6" i="4" s="1"/>
  <c r="AN5" i="4" a="1"/>
  <c r="AN5" i="4" s="1"/>
  <c r="AN4" i="4" a="1"/>
  <c r="AN4" i="4" s="1"/>
  <c r="AN3" i="4" a="1"/>
  <c r="AN3" i="4" s="1"/>
  <c r="AM33" i="4" a="1"/>
  <c r="AM33" i="4" s="1"/>
  <c r="AM32" i="4" a="1"/>
  <c r="AM32" i="4" s="1"/>
  <c r="AM31" i="4" a="1"/>
  <c r="AM31" i="4" s="1"/>
  <c r="AM30" i="4" a="1"/>
  <c r="AM30" i="4" s="1"/>
  <c r="AM29" i="4"/>
  <c r="AM29" i="4" a="1"/>
  <c r="AM28" i="4" a="1"/>
  <c r="AM28" i="4" s="1"/>
  <c r="AM27" i="4" a="1"/>
  <c r="AM27" i="4" s="1"/>
  <c r="AM26" i="4" a="1"/>
  <c r="AM26" i="4" s="1"/>
  <c r="AM25" i="4" a="1"/>
  <c r="AM25" i="4" s="1"/>
  <c r="AM24" i="4" a="1"/>
  <c r="AM24" i="4" s="1"/>
  <c r="AM23" i="4" a="1"/>
  <c r="AM23" i="4" s="1"/>
  <c r="AM22" i="4" a="1"/>
  <c r="AM22" i="4" s="1"/>
  <c r="AM21" i="4" a="1"/>
  <c r="AM21" i="4" s="1"/>
  <c r="AM20" i="4" a="1"/>
  <c r="AM20" i="4" s="1"/>
  <c r="AM19" i="4" a="1"/>
  <c r="AM19" i="4" s="1"/>
  <c r="AM18" i="4" a="1"/>
  <c r="AM18" i="4" s="1"/>
  <c r="AM17" i="4" a="1"/>
  <c r="AM17" i="4" s="1"/>
  <c r="AM16" i="4" a="1"/>
  <c r="AM16" i="4" s="1"/>
  <c r="AM15" i="4" a="1"/>
  <c r="AM15" i="4" s="1"/>
  <c r="AM14" i="4" a="1"/>
  <c r="AM14" i="4" s="1"/>
  <c r="AM13" i="4" a="1"/>
  <c r="AM13" i="4" s="1"/>
  <c r="AM12" i="4" a="1"/>
  <c r="AM12" i="4" s="1"/>
  <c r="AM11" i="4" a="1"/>
  <c r="AM11" i="4" s="1"/>
  <c r="AM10" i="4" a="1"/>
  <c r="AM10" i="4" s="1"/>
  <c r="AM9" i="4" a="1"/>
  <c r="AM9" i="4" s="1"/>
  <c r="AM8" i="4" a="1"/>
  <c r="AM8" i="4" s="1"/>
  <c r="AM7" i="4" a="1"/>
  <c r="AM7" i="4" s="1"/>
  <c r="AM6" i="4" a="1"/>
  <c r="AM6" i="4" s="1"/>
  <c r="AM5" i="4" a="1"/>
  <c r="AM5" i="4" s="1"/>
  <c r="AM4" i="4" a="1"/>
  <c r="AM4" i="4" s="1"/>
  <c r="AM3" i="4" a="1"/>
  <c r="AM3" i="4" s="1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9" i="4"/>
  <c r="AL8" i="4"/>
  <c r="AL7" i="4"/>
  <c r="AL6" i="4"/>
  <c r="AL5" i="4"/>
  <c r="AL4" i="4"/>
  <c r="AL3" i="4"/>
  <c r="AK33" i="4" a="1"/>
  <c r="AK33" i="4" s="1"/>
  <c r="AK32" i="4" a="1"/>
  <c r="AK32" i="4" s="1"/>
  <c r="AK31" i="4" a="1"/>
  <c r="AK31" i="4" s="1"/>
  <c r="AK30" i="4" a="1"/>
  <c r="AK30" i="4" s="1"/>
  <c r="AK29" i="4"/>
  <c r="AK29" i="4" a="1"/>
  <c r="AK28" i="4" a="1"/>
  <c r="AK28" i="4" s="1"/>
  <c r="AK27" i="4" a="1"/>
  <c r="AK27" i="4" s="1"/>
  <c r="AK26" i="4" a="1"/>
  <c r="AK26" i="4" s="1"/>
  <c r="AK25" i="4" a="1"/>
  <c r="AK25" i="4" s="1"/>
  <c r="AK24" i="4" a="1"/>
  <c r="AK24" i="4" s="1"/>
  <c r="AK23" i="4" a="1"/>
  <c r="AK23" i="4" s="1"/>
  <c r="AK22" i="4" a="1"/>
  <c r="AK22" i="4" s="1"/>
  <c r="AK21" i="4" a="1"/>
  <c r="AK21" i="4" s="1"/>
  <c r="AK20" i="4" a="1"/>
  <c r="AK20" i="4" s="1"/>
  <c r="AK19" i="4" a="1"/>
  <c r="AK19" i="4" s="1"/>
  <c r="AK18" i="4" a="1"/>
  <c r="AK18" i="4" s="1"/>
  <c r="AK17" i="4" a="1"/>
  <c r="AK17" i="4" s="1"/>
  <c r="AK16" i="4" a="1"/>
  <c r="AK16" i="4" s="1"/>
  <c r="AK15" i="4" a="1"/>
  <c r="AK15" i="4" s="1"/>
  <c r="AK14" i="4" a="1"/>
  <c r="AK14" i="4" s="1"/>
  <c r="AK13" i="4" a="1"/>
  <c r="AK13" i="4" s="1"/>
  <c r="AK12" i="4" a="1"/>
  <c r="AK12" i="4" s="1"/>
  <c r="AK11" i="4" a="1"/>
  <c r="AK11" i="4" s="1"/>
  <c r="AK10" i="4" a="1"/>
  <c r="AK10" i="4" s="1"/>
  <c r="AK9" i="4" a="1"/>
  <c r="AK9" i="4" s="1"/>
  <c r="AK8" i="4" a="1"/>
  <c r="AK8" i="4" s="1"/>
  <c r="AK7" i="4" a="1"/>
  <c r="AK7" i="4" s="1"/>
  <c r="AK6" i="4" a="1"/>
  <c r="AK6" i="4" s="1"/>
  <c r="AK5" i="4" a="1"/>
  <c r="AK5" i="4" s="1"/>
  <c r="AK4" i="4" a="1"/>
  <c r="AK4" i="4" s="1"/>
  <c r="AK3" i="4" a="1"/>
  <c r="AK3" i="4" s="1"/>
  <c r="AJ33" i="4" a="1"/>
  <c r="AJ33" i="4" s="1"/>
  <c r="AJ32" i="4" a="1"/>
  <c r="AJ32" i="4" s="1"/>
  <c r="AJ31" i="4" a="1"/>
  <c r="AJ31" i="4" s="1"/>
  <c r="AJ30" i="4"/>
  <c r="AJ30" i="4" a="1"/>
  <c r="AJ29" i="4" a="1"/>
  <c r="AJ29" i="4" s="1"/>
  <c r="AJ28" i="4" a="1"/>
  <c r="AJ28" i="4" s="1"/>
  <c r="AJ27" i="4" a="1"/>
  <c r="AJ27" i="4" s="1"/>
  <c r="AJ26" i="4" a="1"/>
  <c r="AJ26" i="4" s="1"/>
  <c r="AJ25" i="4" a="1"/>
  <c r="AJ25" i="4" s="1"/>
  <c r="AJ24" i="4" a="1"/>
  <c r="AJ24" i="4" s="1"/>
  <c r="AJ23" i="4" a="1"/>
  <c r="AJ23" i="4" s="1"/>
  <c r="AJ22" i="4" a="1"/>
  <c r="AJ22" i="4" s="1"/>
  <c r="AJ21" i="4" a="1"/>
  <c r="AJ21" i="4" s="1"/>
  <c r="AJ20" i="4" a="1"/>
  <c r="AJ20" i="4" s="1"/>
  <c r="AJ19" i="4" a="1"/>
  <c r="AJ19" i="4" s="1"/>
  <c r="AJ18" i="4" a="1"/>
  <c r="AJ18" i="4" s="1"/>
  <c r="AJ17" i="4" a="1"/>
  <c r="AJ17" i="4" s="1"/>
  <c r="AJ16" i="4" a="1"/>
  <c r="AJ16" i="4" s="1"/>
  <c r="AJ15" i="4" a="1"/>
  <c r="AJ15" i="4" s="1"/>
  <c r="AJ14" i="4" a="1"/>
  <c r="AJ14" i="4" s="1"/>
  <c r="AJ13" i="4" a="1"/>
  <c r="AJ13" i="4" s="1"/>
  <c r="AJ12" i="4" a="1"/>
  <c r="AJ12" i="4" s="1"/>
  <c r="AJ11" i="4" a="1"/>
  <c r="AJ11" i="4" s="1"/>
  <c r="AJ10" i="4" a="1"/>
  <c r="AJ10" i="4" s="1"/>
  <c r="AJ9" i="4" a="1"/>
  <c r="AJ9" i="4" s="1"/>
  <c r="AJ8" i="4" a="1"/>
  <c r="AJ8" i="4" s="1"/>
  <c r="AJ7" i="4" a="1"/>
  <c r="AJ7" i="4" s="1"/>
  <c r="AJ6" i="4" a="1"/>
  <c r="AJ6" i="4" s="1"/>
  <c r="AJ5" i="4" a="1"/>
  <c r="AJ5" i="4" s="1"/>
  <c r="AJ4" i="4" a="1"/>
  <c r="AJ4" i="4" s="1"/>
  <c r="AJ3" i="4" a="1"/>
  <c r="AJ3" i="4" s="1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I5" i="4"/>
  <c r="AI4" i="4"/>
  <c r="AI3" i="4"/>
  <c r="AH33" i="4" a="1"/>
  <c r="AH33" i="4" s="1"/>
  <c r="AH32" i="4" a="1"/>
  <c r="AH32" i="4" s="1"/>
  <c r="AH31" i="4" a="1"/>
  <c r="AH31" i="4" s="1"/>
  <c r="AH30" i="4" a="1"/>
  <c r="AH30" i="4" s="1"/>
  <c r="AH29" i="4" a="1"/>
  <c r="AH29" i="4" s="1"/>
  <c r="AH28" i="4" a="1"/>
  <c r="AH28" i="4" s="1"/>
  <c r="AH27" i="4" a="1"/>
  <c r="AH27" i="4" s="1"/>
  <c r="AH26" i="4" a="1"/>
  <c r="AH26" i="4" s="1"/>
  <c r="AH25" i="4" a="1"/>
  <c r="AH25" i="4" s="1"/>
  <c r="AH24" i="4" a="1"/>
  <c r="AH24" i="4" s="1"/>
  <c r="AH23" i="4" a="1"/>
  <c r="AH23" i="4" s="1"/>
  <c r="AH22" i="4" a="1"/>
  <c r="AH22" i="4" s="1"/>
  <c r="AH21" i="4" a="1"/>
  <c r="AH21" i="4" s="1"/>
  <c r="AH20" i="4" a="1"/>
  <c r="AH20" i="4" s="1"/>
  <c r="AH19" i="4" a="1"/>
  <c r="AH19" i="4" s="1"/>
  <c r="AH18" i="4" a="1"/>
  <c r="AH18" i="4" s="1"/>
  <c r="AH17" i="4" a="1"/>
  <c r="AH17" i="4" s="1"/>
  <c r="AH16" i="4" a="1"/>
  <c r="AH16" i="4" s="1"/>
  <c r="AH15" i="4" a="1"/>
  <c r="AH15" i="4" s="1"/>
  <c r="AH14" i="4" a="1"/>
  <c r="AH14" i="4" s="1"/>
  <c r="AH13" i="4" a="1"/>
  <c r="AH13" i="4" s="1"/>
  <c r="AH12" i="4" a="1"/>
  <c r="AH12" i="4" s="1"/>
  <c r="AH11" i="4" a="1"/>
  <c r="AH11" i="4" s="1"/>
  <c r="AH10" i="4" a="1"/>
  <c r="AH10" i="4" s="1"/>
  <c r="AH9" i="4" a="1"/>
  <c r="AH9" i="4" s="1"/>
  <c r="AH8" i="4" a="1"/>
  <c r="AH8" i="4" s="1"/>
  <c r="AH7" i="4" a="1"/>
  <c r="AH7" i="4" s="1"/>
  <c r="AH6" i="4" a="1"/>
  <c r="AH6" i="4" s="1"/>
  <c r="AH5" i="4" a="1"/>
  <c r="AH5" i="4" s="1"/>
  <c r="AH4" i="4" a="1"/>
  <c r="AH4" i="4" s="1"/>
  <c r="AH3" i="4" a="1"/>
  <c r="AH3" i="4" s="1"/>
  <c r="AG33" i="4" a="1"/>
  <c r="AG33" i="4" s="1"/>
  <c r="AG32" i="4" a="1"/>
  <c r="AG32" i="4" s="1"/>
  <c r="AG31" i="4" a="1"/>
  <c r="AG31" i="4" s="1"/>
  <c r="AG30" i="4" a="1"/>
  <c r="AG30" i="4" s="1"/>
  <c r="AG29" i="4" a="1"/>
  <c r="AG29" i="4" s="1"/>
  <c r="AG28" i="4" a="1"/>
  <c r="AG28" i="4" s="1"/>
  <c r="AG27" i="4" a="1"/>
  <c r="AG27" i="4" s="1"/>
  <c r="AG26" i="4" a="1"/>
  <c r="AG26" i="4" s="1"/>
  <c r="AG25" i="4" a="1"/>
  <c r="AG25" i="4" s="1"/>
  <c r="AG24" i="4" a="1"/>
  <c r="AG24" i="4" s="1"/>
  <c r="AG23" i="4" a="1"/>
  <c r="AG23" i="4" s="1"/>
  <c r="AG22" i="4" a="1"/>
  <c r="AG22" i="4" s="1"/>
  <c r="AG21" i="4" a="1"/>
  <c r="AG21" i="4" s="1"/>
  <c r="AG20" i="4" a="1"/>
  <c r="AG20" i="4" s="1"/>
  <c r="AG19" i="4" a="1"/>
  <c r="AG19" i="4" s="1"/>
  <c r="AG18" i="4" a="1"/>
  <c r="AG18" i="4" s="1"/>
  <c r="AG17" i="4" a="1"/>
  <c r="AG17" i="4" s="1"/>
  <c r="AG16" i="4" a="1"/>
  <c r="AG16" i="4" s="1"/>
  <c r="AG15" i="4" a="1"/>
  <c r="AG15" i="4" s="1"/>
  <c r="AG14" i="4" a="1"/>
  <c r="AG14" i="4" s="1"/>
  <c r="AG13" i="4" a="1"/>
  <c r="AG13" i="4" s="1"/>
  <c r="AG12" i="4" a="1"/>
  <c r="AG12" i="4" s="1"/>
  <c r="AG11" i="4" a="1"/>
  <c r="AG11" i="4" s="1"/>
  <c r="AG10" i="4" a="1"/>
  <c r="AG10" i="4" s="1"/>
  <c r="AG9" i="4" a="1"/>
  <c r="AG9" i="4" s="1"/>
  <c r="AG8" i="4" a="1"/>
  <c r="AG8" i="4" s="1"/>
  <c r="AG7" i="4" a="1"/>
  <c r="AG7" i="4" s="1"/>
  <c r="AG6" i="4" a="1"/>
  <c r="AG6" i="4" s="1"/>
  <c r="AG5" i="4" a="1"/>
  <c r="AG5" i="4" s="1"/>
  <c r="AG4" i="4" a="1"/>
  <c r="AG4" i="4" s="1"/>
  <c r="AG3" i="4" a="1"/>
  <c r="AG3" i="4" s="1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N2" i="4" a="1"/>
  <c r="AN2" i="4" s="1"/>
  <c r="AK2" i="4" a="1"/>
  <c r="AK2" i="4" s="1"/>
  <c r="AH2" i="4" a="1"/>
  <c r="AH2" i="4" s="1"/>
  <c r="AM2" i="4" a="1"/>
  <c r="AM2" i="4" s="1"/>
  <c r="AJ2" i="4" a="1"/>
  <c r="AJ2" i="4" s="1"/>
  <c r="AG2" i="4" a="1"/>
  <c r="AG2" i="4" s="1"/>
  <c r="AL2" i="4"/>
  <c r="AI2" i="4"/>
  <c r="AF2" i="4"/>
  <c r="D43" i="4" a="1"/>
  <c r="D43" i="4" s="1"/>
  <c r="E43" i="4" s="1"/>
  <c r="D42" i="4" a="1"/>
  <c r="D42" i="4" s="1"/>
  <c r="E42" i="4" s="1"/>
  <c r="D41" i="4" a="1"/>
  <c r="D41" i="4" s="1"/>
  <c r="E41" i="4" s="1"/>
  <c r="D40" i="4" a="1"/>
  <c r="D40" i="4" s="1"/>
  <c r="E40" i="4" s="1"/>
  <c r="D39" i="4" a="1"/>
  <c r="D39" i="4" s="1"/>
  <c r="E39" i="4" s="1"/>
  <c r="D38" i="4" a="1"/>
  <c r="D38" i="4" s="1"/>
  <c r="E38" i="4" s="1"/>
  <c r="H43" i="4"/>
  <c r="G43" i="4"/>
  <c r="F43" i="4"/>
  <c r="C43" i="4"/>
  <c r="B43" i="4"/>
  <c r="H42" i="4"/>
  <c r="G42" i="4"/>
  <c r="F42" i="4"/>
  <c r="C42" i="4"/>
  <c r="B42" i="4"/>
  <c r="H41" i="4"/>
  <c r="G41" i="4"/>
  <c r="F41" i="4"/>
  <c r="C41" i="4"/>
  <c r="B41" i="4"/>
  <c r="H40" i="4"/>
  <c r="G40" i="4"/>
  <c r="F40" i="4"/>
  <c r="C40" i="4"/>
  <c r="B40" i="4"/>
  <c r="H39" i="4"/>
  <c r="G39" i="4"/>
  <c r="F39" i="4"/>
  <c r="C39" i="4"/>
  <c r="B39" i="4"/>
  <c r="H38" i="4"/>
  <c r="G38" i="4"/>
  <c r="F38" i="4"/>
  <c r="C38" i="4"/>
  <c r="B38" i="4"/>
  <c r="AB33" i="4" a="1"/>
  <c r="AB33" i="4" s="1"/>
  <c r="AB32" i="4" a="1"/>
  <c r="AB32" i="4" s="1"/>
  <c r="AB31" i="4" a="1"/>
  <c r="AB31" i="4" s="1"/>
  <c r="AB30" i="4" a="1"/>
  <c r="AB30" i="4" s="1"/>
  <c r="AB29" i="4" a="1"/>
  <c r="AB29" i="4" s="1"/>
  <c r="AB28" i="4" a="1"/>
  <c r="AB28" i="4" s="1"/>
  <c r="AB27" i="4" a="1"/>
  <c r="AB27" i="4" s="1"/>
  <c r="AB26" i="4" a="1"/>
  <c r="AB26" i="4" s="1"/>
  <c r="AB25" i="4" a="1"/>
  <c r="AB25" i="4" s="1"/>
  <c r="AB24" i="4" a="1"/>
  <c r="AB24" i="4" s="1"/>
  <c r="AB23" i="4" a="1"/>
  <c r="AB23" i="4" s="1"/>
  <c r="AB22" i="4" a="1"/>
  <c r="AB22" i="4" s="1"/>
  <c r="AB21" i="4" a="1"/>
  <c r="AB21" i="4" s="1"/>
  <c r="AB20" i="4" a="1"/>
  <c r="AB20" i="4" s="1"/>
  <c r="AB19" i="4" a="1"/>
  <c r="AB19" i="4" s="1"/>
  <c r="AB18" i="4" a="1"/>
  <c r="AB18" i="4" s="1"/>
  <c r="AB17" i="4" a="1"/>
  <c r="AB17" i="4" s="1"/>
  <c r="AB16" i="4" a="1"/>
  <c r="AB16" i="4" s="1"/>
  <c r="AB15" i="4" a="1"/>
  <c r="AB15" i="4" s="1"/>
  <c r="AB14" i="4" a="1"/>
  <c r="AB14" i="4" s="1"/>
  <c r="AB13" i="4" a="1"/>
  <c r="AB13" i="4" s="1"/>
  <c r="AB12" i="4" a="1"/>
  <c r="AB12" i="4" s="1"/>
  <c r="AB11" i="4" a="1"/>
  <c r="AB11" i="4" s="1"/>
  <c r="AB10" i="4" a="1"/>
  <c r="AB10" i="4" s="1"/>
  <c r="AB9" i="4" a="1"/>
  <c r="AB9" i="4" s="1"/>
  <c r="AB8" i="4" a="1"/>
  <c r="AB8" i="4" s="1"/>
  <c r="AB7" i="4" a="1"/>
  <c r="AB7" i="4" s="1"/>
  <c r="AB6" i="4" a="1"/>
  <c r="AB6" i="4" s="1"/>
  <c r="AB5" i="4" a="1"/>
  <c r="AB5" i="4" s="1"/>
  <c r="AB4" i="4" a="1"/>
  <c r="AB4" i="4" s="1"/>
  <c r="AB3" i="4" a="1"/>
  <c r="AB3" i="4" s="1"/>
  <c r="AA33" i="4" a="1"/>
  <c r="AA33" i="4" s="1"/>
  <c r="AA32" i="4" a="1"/>
  <c r="AA32" i="4" s="1"/>
  <c r="AA31" i="4" a="1"/>
  <c r="AA31" i="4" s="1"/>
  <c r="AA30" i="4" a="1"/>
  <c r="AA30" i="4" s="1"/>
  <c r="AA29" i="4" a="1"/>
  <c r="AA29" i="4" s="1"/>
  <c r="AA28" i="4" a="1"/>
  <c r="AA28" i="4" s="1"/>
  <c r="AA27" i="4" a="1"/>
  <c r="AA27" i="4" s="1"/>
  <c r="AA26" i="4" a="1"/>
  <c r="AA26" i="4" s="1"/>
  <c r="AA25" i="4" a="1"/>
  <c r="AA25" i="4" s="1"/>
  <c r="AA24" i="4" a="1"/>
  <c r="AA24" i="4" s="1"/>
  <c r="AA23" i="4" a="1"/>
  <c r="AA23" i="4" s="1"/>
  <c r="AA22" i="4" a="1"/>
  <c r="AA22" i="4" s="1"/>
  <c r="AA21" i="4" a="1"/>
  <c r="AA21" i="4" s="1"/>
  <c r="AA20" i="4" a="1"/>
  <c r="AA20" i="4" s="1"/>
  <c r="AA19" i="4" a="1"/>
  <c r="AA19" i="4" s="1"/>
  <c r="AA18" i="4" a="1"/>
  <c r="AA18" i="4" s="1"/>
  <c r="AA17" i="4" a="1"/>
  <c r="AA17" i="4" s="1"/>
  <c r="AA16" i="4" a="1"/>
  <c r="AA16" i="4" s="1"/>
  <c r="AA15" i="4" a="1"/>
  <c r="AA15" i="4" s="1"/>
  <c r="AA14" i="4" a="1"/>
  <c r="AA14" i="4" s="1"/>
  <c r="AA13" i="4" a="1"/>
  <c r="AA13" i="4" s="1"/>
  <c r="AA12" i="4" a="1"/>
  <c r="AA12" i="4" s="1"/>
  <c r="AA11" i="4" a="1"/>
  <c r="AA11" i="4" s="1"/>
  <c r="AA10" i="4" a="1"/>
  <c r="AA10" i="4" s="1"/>
  <c r="AA9" i="4" a="1"/>
  <c r="AA9" i="4" s="1"/>
  <c r="AA8" i="4" a="1"/>
  <c r="AA8" i="4" s="1"/>
  <c r="AA7" i="4" a="1"/>
  <c r="AA7" i="4" s="1"/>
  <c r="AA6" i="4" a="1"/>
  <c r="AA6" i="4" s="1"/>
  <c r="AA5" i="4" a="1"/>
  <c r="AA5" i="4" s="1"/>
  <c r="AA4" i="4" a="1"/>
  <c r="AA4" i="4" s="1"/>
  <c r="AA3" i="4" a="1"/>
  <c r="AA3" i="4" s="1"/>
  <c r="Z33" i="4" a="1"/>
  <c r="Z33" i="4" s="1"/>
  <c r="Z32" i="4"/>
  <c r="Z32" i="4" a="1"/>
  <c r="Z31" i="4" a="1"/>
  <c r="Z31" i="4" s="1"/>
  <c r="Z30" i="4" a="1"/>
  <c r="Z30" i="4" s="1"/>
  <c r="Z29" i="4" a="1"/>
  <c r="Z29" i="4" s="1"/>
  <c r="Z28" i="4" a="1"/>
  <c r="Z28" i="4" s="1"/>
  <c r="Z27" i="4" a="1"/>
  <c r="Z27" i="4" s="1"/>
  <c r="Z26" i="4" a="1"/>
  <c r="Z26" i="4" s="1"/>
  <c r="Z25" i="4" a="1"/>
  <c r="Z25" i="4" s="1"/>
  <c r="Z24" i="4" a="1"/>
  <c r="Z24" i="4" s="1"/>
  <c r="Z23" i="4" a="1"/>
  <c r="Z23" i="4" s="1"/>
  <c r="Z22" i="4" a="1"/>
  <c r="Z22" i="4" s="1"/>
  <c r="Z21" i="4" a="1"/>
  <c r="Z21" i="4" s="1"/>
  <c r="Z20" i="4" a="1"/>
  <c r="Z20" i="4" s="1"/>
  <c r="Z19" i="4" a="1"/>
  <c r="Z19" i="4" s="1"/>
  <c r="Z18" i="4" a="1"/>
  <c r="Z18" i="4" s="1"/>
  <c r="Z17" i="4" a="1"/>
  <c r="Z17" i="4" s="1"/>
  <c r="Z16" i="4" a="1"/>
  <c r="Z16" i="4" s="1"/>
  <c r="Z15" i="4" a="1"/>
  <c r="Z15" i="4" s="1"/>
  <c r="Z14" i="4" a="1"/>
  <c r="Z14" i="4" s="1"/>
  <c r="Z13" i="4" a="1"/>
  <c r="Z13" i="4" s="1"/>
  <c r="Z12" i="4" a="1"/>
  <c r="Z12" i="4" s="1"/>
  <c r="Z11" i="4" a="1"/>
  <c r="Z11" i="4" s="1"/>
  <c r="Z10" i="4" a="1"/>
  <c r="Z10" i="4" s="1"/>
  <c r="Z9" i="4" a="1"/>
  <c r="Z9" i="4" s="1"/>
  <c r="Z8" i="4" a="1"/>
  <c r="Z8" i="4" s="1"/>
  <c r="Z7" i="4" a="1"/>
  <c r="Z7" i="4" s="1"/>
  <c r="Z6" i="4" a="1"/>
  <c r="Z6" i="4" s="1"/>
  <c r="Z5" i="4" a="1"/>
  <c r="Z5" i="4" s="1"/>
  <c r="Z4" i="4" a="1"/>
  <c r="Z4" i="4" s="1"/>
  <c r="Z3" i="4" a="1"/>
  <c r="Z3" i="4" s="1"/>
  <c r="Y33" i="4" a="1"/>
  <c r="Y33" i="4" s="1"/>
  <c r="Y32" i="4" a="1"/>
  <c r="Y32" i="4" s="1"/>
  <c r="Y31" i="4" a="1"/>
  <c r="Y31" i="4" s="1"/>
  <c r="Y30" i="4" a="1"/>
  <c r="Y30" i="4" s="1"/>
  <c r="Y29" i="4" a="1"/>
  <c r="Y29" i="4" s="1"/>
  <c r="Y28" i="4" a="1"/>
  <c r="Y28" i="4" s="1"/>
  <c r="Y27" i="4" a="1"/>
  <c r="Y27" i="4" s="1"/>
  <c r="Y26" i="4" a="1"/>
  <c r="Y26" i="4" s="1"/>
  <c r="Y25" i="4" a="1"/>
  <c r="Y25" i="4" s="1"/>
  <c r="Y24" i="4" a="1"/>
  <c r="Y24" i="4" s="1"/>
  <c r="Y23" i="4" a="1"/>
  <c r="Y23" i="4" s="1"/>
  <c r="Y22" i="4" a="1"/>
  <c r="Y22" i="4" s="1"/>
  <c r="Y21" i="4" a="1"/>
  <c r="Y21" i="4" s="1"/>
  <c r="Y20" i="4" a="1"/>
  <c r="Y20" i="4" s="1"/>
  <c r="Y19" i="4" a="1"/>
  <c r="Y19" i="4" s="1"/>
  <c r="Y18" i="4" a="1"/>
  <c r="Y18" i="4" s="1"/>
  <c r="Y17" i="4" a="1"/>
  <c r="Y17" i="4" s="1"/>
  <c r="Y16" i="4" a="1"/>
  <c r="Y16" i="4" s="1"/>
  <c r="Y15" i="4" a="1"/>
  <c r="Y15" i="4" s="1"/>
  <c r="Y14" i="4" a="1"/>
  <c r="Y14" i="4" s="1"/>
  <c r="Y13" i="4" a="1"/>
  <c r="Y13" i="4" s="1"/>
  <c r="Y12" i="4" a="1"/>
  <c r="Y12" i="4" s="1"/>
  <c r="Y11" i="4" a="1"/>
  <c r="Y11" i="4" s="1"/>
  <c r="Y10" i="4" a="1"/>
  <c r="Y10" i="4" s="1"/>
  <c r="Y9" i="4" a="1"/>
  <c r="Y9" i="4" s="1"/>
  <c r="Y8" i="4" a="1"/>
  <c r="Y8" i="4" s="1"/>
  <c r="Y7" i="4" a="1"/>
  <c r="Y7" i="4" s="1"/>
  <c r="Y6" i="4" a="1"/>
  <c r="Y6" i="4" s="1"/>
  <c r="Y5" i="4" a="1"/>
  <c r="Y5" i="4" s="1"/>
  <c r="Y4" i="4" a="1"/>
  <c r="Y4" i="4" s="1"/>
  <c r="Y3" i="4" a="1"/>
  <c r="Y3" i="4" s="1"/>
  <c r="X33" i="4"/>
  <c r="X33" i="4" a="1"/>
  <c r="X32" i="4" a="1"/>
  <c r="X32" i="4" s="1"/>
  <c r="X31" i="4" a="1"/>
  <c r="X31" i="4" s="1"/>
  <c r="X30" i="4" a="1"/>
  <c r="X30" i="4" s="1"/>
  <c r="X29" i="4" a="1"/>
  <c r="X29" i="4" s="1"/>
  <c r="X28" i="4" a="1"/>
  <c r="X28" i="4" s="1"/>
  <c r="X27" i="4" a="1"/>
  <c r="X27" i="4" s="1"/>
  <c r="X26" i="4" a="1"/>
  <c r="X26" i="4" s="1"/>
  <c r="X25" i="4" a="1"/>
  <c r="X25" i="4" s="1"/>
  <c r="X24" i="4" a="1"/>
  <c r="X24" i="4" s="1"/>
  <c r="X23" i="4" a="1"/>
  <c r="X23" i="4" s="1"/>
  <c r="X22" i="4" a="1"/>
  <c r="X22" i="4" s="1"/>
  <c r="X21" i="4" a="1"/>
  <c r="X21" i="4" s="1"/>
  <c r="X20" i="4" a="1"/>
  <c r="X20" i="4" s="1"/>
  <c r="X19" i="4" a="1"/>
  <c r="X19" i="4" s="1"/>
  <c r="X18" i="4" a="1"/>
  <c r="X18" i="4" s="1"/>
  <c r="X17" i="4" a="1"/>
  <c r="X17" i="4" s="1"/>
  <c r="X16" i="4" a="1"/>
  <c r="X16" i="4" s="1"/>
  <c r="X15" i="4" a="1"/>
  <c r="X15" i="4" s="1"/>
  <c r="X14" i="4" a="1"/>
  <c r="X14" i="4" s="1"/>
  <c r="X13" i="4" a="1"/>
  <c r="X13" i="4" s="1"/>
  <c r="X12" i="4" a="1"/>
  <c r="X12" i="4" s="1"/>
  <c r="X11" i="4" a="1"/>
  <c r="X11" i="4" s="1"/>
  <c r="X10" i="4" a="1"/>
  <c r="X10" i="4" s="1"/>
  <c r="X9" i="4" a="1"/>
  <c r="X9" i="4" s="1"/>
  <c r="X8" i="4" a="1"/>
  <c r="X8" i="4" s="1"/>
  <c r="X7" i="4" a="1"/>
  <c r="X7" i="4" s="1"/>
  <c r="X6" i="4" a="1"/>
  <c r="X6" i="4" s="1"/>
  <c r="X5" i="4" a="1"/>
  <c r="X5" i="4" s="1"/>
  <c r="X4" i="4" a="1"/>
  <c r="X4" i="4" s="1"/>
  <c r="X3" i="4" a="1"/>
  <c r="X3" i="4" s="1"/>
  <c r="W33" i="4" a="1"/>
  <c r="W33" i="4" s="1"/>
  <c r="W32" i="4" a="1"/>
  <c r="W32" i="4" s="1"/>
  <c r="W31" i="4" a="1"/>
  <c r="W31" i="4" s="1"/>
  <c r="W30" i="4" a="1"/>
  <c r="W30" i="4" s="1"/>
  <c r="W29" i="4" a="1"/>
  <c r="W29" i="4" s="1"/>
  <c r="W28" i="4" a="1"/>
  <c r="W28" i="4" s="1"/>
  <c r="W27" i="4" a="1"/>
  <c r="W27" i="4" s="1"/>
  <c r="W26" i="4" a="1"/>
  <c r="W26" i="4" s="1"/>
  <c r="W25" i="4" a="1"/>
  <c r="W25" i="4" s="1"/>
  <c r="W24" i="4" a="1"/>
  <c r="W24" i="4" s="1"/>
  <c r="W23" i="4" a="1"/>
  <c r="W23" i="4" s="1"/>
  <c r="W22" i="4" a="1"/>
  <c r="W22" i="4" s="1"/>
  <c r="W21" i="4" a="1"/>
  <c r="W21" i="4" s="1"/>
  <c r="W20" i="4" a="1"/>
  <c r="W20" i="4" s="1"/>
  <c r="W19" i="4" a="1"/>
  <c r="W19" i="4" s="1"/>
  <c r="W18" i="4" a="1"/>
  <c r="W18" i="4" s="1"/>
  <c r="W17" i="4" a="1"/>
  <c r="W17" i="4" s="1"/>
  <c r="W16" i="4" a="1"/>
  <c r="W16" i="4" s="1"/>
  <c r="W15" i="4" a="1"/>
  <c r="W15" i="4" s="1"/>
  <c r="W14" i="4" a="1"/>
  <c r="W14" i="4" s="1"/>
  <c r="W13" i="4" a="1"/>
  <c r="W13" i="4" s="1"/>
  <c r="W12" i="4" a="1"/>
  <c r="W12" i="4" s="1"/>
  <c r="W11" i="4" a="1"/>
  <c r="W11" i="4" s="1"/>
  <c r="W10" i="4" a="1"/>
  <c r="W10" i="4" s="1"/>
  <c r="W9" i="4" a="1"/>
  <c r="W9" i="4" s="1"/>
  <c r="W8" i="4" a="1"/>
  <c r="W8" i="4" s="1"/>
  <c r="W7" i="4" a="1"/>
  <c r="W7" i="4" s="1"/>
  <c r="W6" i="4" a="1"/>
  <c r="W6" i="4" s="1"/>
  <c r="W5" i="4" a="1"/>
  <c r="W5" i="4" s="1"/>
  <c r="W4" i="4" a="1"/>
  <c r="W4" i="4" s="1"/>
  <c r="W3" i="4" a="1"/>
  <c r="W3" i="4" s="1"/>
  <c r="AB2" i="4" a="1"/>
  <c r="AB2" i="4" s="1"/>
  <c r="AA2" i="4" a="1"/>
  <c r="AA2" i="4" s="1"/>
  <c r="Z2" i="4" a="1"/>
  <c r="Z2" i="4" s="1"/>
  <c r="Y2" i="4" a="1"/>
  <c r="Y2" i="4" s="1"/>
  <c r="X2" i="4" a="1"/>
  <c r="X2" i="4" s="1"/>
  <c r="W2" i="4" a="1"/>
  <c r="W2" i="4" s="1"/>
  <c r="V33" i="4" a="1"/>
  <c r="V33" i="4" s="1"/>
  <c r="V32" i="4" a="1"/>
  <c r="V32" i="4" s="1"/>
  <c r="V31" i="4" a="1"/>
  <c r="V31" i="4" s="1"/>
  <c r="V30" i="4" a="1"/>
  <c r="V30" i="4" s="1"/>
  <c r="V29" i="4" a="1"/>
  <c r="V29" i="4" s="1"/>
  <c r="V28" i="4" a="1"/>
  <c r="V28" i="4" s="1"/>
  <c r="V27" i="4" a="1"/>
  <c r="V27" i="4" s="1"/>
  <c r="V26" i="4" a="1"/>
  <c r="V26" i="4" s="1"/>
  <c r="V25" i="4" a="1"/>
  <c r="V25" i="4" s="1"/>
  <c r="V24" i="4" a="1"/>
  <c r="V24" i="4" s="1"/>
  <c r="V23" i="4" a="1"/>
  <c r="V23" i="4" s="1"/>
  <c r="V22" i="4" a="1"/>
  <c r="V22" i="4" s="1"/>
  <c r="V21" i="4" a="1"/>
  <c r="V21" i="4" s="1"/>
  <c r="V20" i="4" a="1"/>
  <c r="V20" i="4" s="1"/>
  <c r="V19" i="4" a="1"/>
  <c r="V19" i="4" s="1"/>
  <c r="V18" i="4" a="1"/>
  <c r="V18" i="4" s="1"/>
  <c r="V17" i="4" a="1"/>
  <c r="V17" i="4" s="1"/>
  <c r="V16" i="4" a="1"/>
  <c r="V16" i="4" s="1"/>
  <c r="V15" i="4" a="1"/>
  <c r="V15" i="4" s="1"/>
  <c r="V14" i="4" a="1"/>
  <c r="V14" i="4" s="1"/>
  <c r="V13" i="4" a="1"/>
  <c r="V13" i="4" s="1"/>
  <c r="V12" i="4" a="1"/>
  <c r="V12" i="4" s="1"/>
  <c r="V11" i="4" a="1"/>
  <c r="V11" i="4" s="1"/>
  <c r="V10" i="4" a="1"/>
  <c r="V10" i="4" s="1"/>
  <c r="V9" i="4" a="1"/>
  <c r="V9" i="4" s="1"/>
  <c r="V8" i="4" a="1"/>
  <c r="V8" i="4" s="1"/>
  <c r="V7" i="4" a="1"/>
  <c r="V7" i="4" s="1"/>
  <c r="V6" i="4" a="1"/>
  <c r="V6" i="4" s="1"/>
  <c r="V5" i="4" a="1"/>
  <c r="V5" i="4" s="1"/>
  <c r="V4" i="4" a="1"/>
  <c r="V4" i="4" s="1"/>
  <c r="V3" i="4" a="1"/>
  <c r="V3" i="4" s="1"/>
  <c r="V2" i="4" a="1"/>
  <c r="V2" i="4" s="1"/>
  <c r="U33" i="4" a="1"/>
  <c r="U33" i="4" s="1"/>
  <c r="U32" i="4" a="1"/>
  <c r="U32" i="4" s="1"/>
  <c r="U31" i="4" a="1"/>
  <c r="U31" i="4" s="1"/>
  <c r="U30" i="4" a="1"/>
  <c r="U30" i="4" s="1"/>
  <c r="U29" i="4" a="1"/>
  <c r="U29" i="4" s="1"/>
  <c r="U28" i="4" a="1"/>
  <c r="U28" i="4" s="1"/>
  <c r="U27" i="4" a="1"/>
  <c r="U27" i="4" s="1"/>
  <c r="U26" i="4" a="1"/>
  <c r="U26" i="4" s="1"/>
  <c r="U25" i="4" a="1"/>
  <c r="U25" i="4" s="1"/>
  <c r="U24" i="4" a="1"/>
  <c r="U24" i="4" s="1"/>
  <c r="U23" i="4" a="1"/>
  <c r="U23" i="4" s="1"/>
  <c r="U22" i="4" a="1"/>
  <c r="U22" i="4" s="1"/>
  <c r="U21" i="4" a="1"/>
  <c r="U21" i="4" s="1"/>
  <c r="U20" i="4" a="1"/>
  <c r="U20" i="4" s="1"/>
  <c r="U19" i="4" a="1"/>
  <c r="U19" i="4" s="1"/>
  <c r="U18" i="4" a="1"/>
  <c r="U18" i="4" s="1"/>
  <c r="U17" i="4" a="1"/>
  <c r="U17" i="4" s="1"/>
  <c r="U16" i="4" a="1"/>
  <c r="U16" i="4" s="1"/>
  <c r="U15" i="4" a="1"/>
  <c r="U15" i="4" s="1"/>
  <c r="U14" i="4" a="1"/>
  <c r="U14" i="4" s="1"/>
  <c r="U13" i="4" a="1"/>
  <c r="U13" i="4" s="1"/>
  <c r="U12" i="4" a="1"/>
  <c r="U12" i="4" s="1"/>
  <c r="U11" i="4" a="1"/>
  <c r="U11" i="4" s="1"/>
  <c r="U10" i="4" a="1"/>
  <c r="U10" i="4" s="1"/>
  <c r="U9" i="4" a="1"/>
  <c r="U9" i="4" s="1"/>
  <c r="U8" i="4" a="1"/>
  <c r="U8" i="4" s="1"/>
  <c r="U7" i="4" a="1"/>
  <c r="U7" i="4" s="1"/>
  <c r="U6" i="4" a="1"/>
  <c r="U6" i="4" s="1"/>
  <c r="U5" i="4" a="1"/>
  <c r="U5" i="4" s="1"/>
  <c r="U4" i="4" a="1"/>
  <c r="U4" i="4" s="1"/>
  <c r="U3" i="4" a="1"/>
  <c r="U3" i="4" s="1"/>
  <c r="U2" i="4" a="1"/>
  <c r="U2" i="4" s="1"/>
  <c r="T33" i="4" a="1"/>
  <c r="T33" i="4" s="1"/>
  <c r="T32" i="4" a="1"/>
  <c r="T32" i="4" s="1"/>
  <c r="T31" i="4" a="1"/>
  <c r="T31" i="4" s="1"/>
  <c r="T30" i="4" a="1"/>
  <c r="T30" i="4" s="1"/>
  <c r="T29" i="4" a="1"/>
  <c r="T29" i="4" s="1"/>
  <c r="T28" i="4" a="1"/>
  <c r="T28" i="4" s="1"/>
  <c r="T27" i="4" a="1"/>
  <c r="T27" i="4" s="1"/>
  <c r="T26" i="4" a="1"/>
  <c r="T26" i="4" s="1"/>
  <c r="T25" i="4" a="1"/>
  <c r="T25" i="4" s="1"/>
  <c r="T24" i="4" a="1"/>
  <c r="T24" i="4" s="1"/>
  <c r="T23" i="4" a="1"/>
  <c r="T23" i="4" s="1"/>
  <c r="T22" i="4" a="1"/>
  <c r="T22" i="4" s="1"/>
  <c r="T21" i="4" a="1"/>
  <c r="T21" i="4" s="1"/>
  <c r="T20" i="4" a="1"/>
  <c r="T20" i="4" s="1"/>
  <c r="T19" i="4" a="1"/>
  <c r="T19" i="4" s="1"/>
  <c r="T18" i="4" a="1"/>
  <c r="T18" i="4" s="1"/>
  <c r="T17" i="4" a="1"/>
  <c r="T17" i="4" s="1"/>
  <c r="T16" i="4" a="1"/>
  <c r="T16" i="4" s="1"/>
  <c r="T15" i="4" a="1"/>
  <c r="T15" i="4" s="1"/>
  <c r="T14" i="4" a="1"/>
  <c r="T14" i="4" s="1"/>
  <c r="T13" i="4" a="1"/>
  <c r="T13" i="4" s="1"/>
  <c r="T12" i="4" a="1"/>
  <c r="T12" i="4" s="1"/>
  <c r="T11" i="4" a="1"/>
  <c r="T11" i="4" s="1"/>
  <c r="T10" i="4" a="1"/>
  <c r="T10" i="4" s="1"/>
  <c r="T9" i="4" a="1"/>
  <c r="T9" i="4" s="1"/>
  <c r="T8" i="4" a="1"/>
  <c r="T8" i="4" s="1"/>
  <c r="T7" i="4" a="1"/>
  <c r="T7" i="4" s="1"/>
  <c r="T6" i="4" a="1"/>
  <c r="T6" i="4" s="1"/>
  <c r="T5" i="4" a="1"/>
  <c r="T5" i="4" s="1"/>
  <c r="T4" i="4" a="1"/>
  <c r="T4" i="4" s="1"/>
  <c r="T3" i="4" a="1"/>
  <c r="T3" i="4" s="1"/>
  <c r="T2" i="4" a="1"/>
  <c r="T2" i="4" s="1"/>
  <c r="S33" i="4" a="1"/>
  <c r="S33" i="4" s="1"/>
  <c r="S32" i="4" a="1"/>
  <c r="S32" i="4" s="1"/>
  <c r="S31" i="4" a="1"/>
  <c r="S31" i="4" s="1"/>
  <c r="S30" i="4" a="1"/>
  <c r="S30" i="4" s="1"/>
  <c r="S29" i="4" a="1"/>
  <c r="S29" i="4" s="1"/>
  <c r="S28" i="4" a="1"/>
  <c r="S28" i="4" s="1"/>
  <c r="S27" i="4" a="1"/>
  <c r="S27" i="4" s="1"/>
  <c r="S26" i="4" a="1"/>
  <c r="S26" i="4" s="1"/>
  <c r="S25" i="4" a="1"/>
  <c r="S25" i="4" s="1"/>
  <c r="S24" i="4" a="1"/>
  <c r="S24" i="4" s="1"/>
  <c r="S23" i="4" a="1"/>
  <c r="S23" i="4" s="1"/>
  <c r="S22" i="4" a="1"/>
  <c r="S22" i="4" s="1"/>
  <c r="S21" i="4" a="1"/>
  <c r="S21" i="4" s="1"/>
  <c r="S20" i="4" a="1"/>
  <c r="S20" i="4" s="1"/>
  <c r="S19" i="4" a="1"/>
  <c r="S19" i="4" s="1"/>
  <c r="S18" i="4" a="1"/>
  <c r="S18" i="4" s="1"/>
  <c r="S17" i="4" a="1"/>
  <c r="S17" i="4" s="1"/>
  <c r="S16" i="4" a="1"/>
  <c r="S16" i="4" s="1"/>
  <c r="S15" i="4" a="1"/>
  <c r="S15" i="4" s="1"/>
  <c r="S14" i="4" a="1"/>
  <c r="S14" i="4" s="1"/>
  <c r="S13" i="4" a="1"/>
  <c r="S13" i="4" s="1"/>
  <c r="S12" i="4" a="1"/>
  <c r="S12" i="4" s="1"/>
  <c r="S11" i="4" a="1"/>
  <c r="S11" i="4" s="1"/>
  <c r="S10" i="4" a="1"/>
  <c r="S10" i="4" s="1"/>
  <c r="S9" i="4" a="1"/>
  <c r="S9" i="4" s="1"/>
  <c r="S8" i="4" a="1"/>
  <c r="S8" i="4" s="1"/>
  <c r="S7" i="4" a="1"/>
  <c r="S7" i="4" s="1"/>
  <c r="S6" i="4" a="1"/>
  <c r="S6" i="4" s="1"/>
  <c r="S5" i="4" a="1"/>
  <c r="S5" i="4" s="1"/>
  <c r="S4" i="4" a="1"/>
  <c r="S4" i="4" s="1"/>
  <c r="S3" i="4" a="1"/>
  <c r="S3" i="4" s="1"/>
  <c r="S2" i="4" a="1"/>
  <c r="S2" i="4" s="1"/>
  <c r="R33" i="4" a="1"/>
  <c r="R33" i="4" s="1"/>
  <c r="R32" i="4" a="1"/>
  <c r="R32" i="4" s="1"/>
  <c r="R31" i="4" a="1"/>
  <c r="R31" i="4" s="1"/>
  <c r="R30" i="4" a="1"/>
  <c r="R30" i="4" s="1"/>
  <c r="R29" i="4" a="1"/>
  <c r="R29" i="4" s="1"/>
  <c r="R28" i="4" a="1"/>
  <c r="R28" i="4" s="1"/>
  <c r="R27" i="4" a="1"/>
  <c r="R27" i="4" s="1"/>
  <c r="R26" i="4" a="1"/>
  <c r="R26" i="4" s="1"/>
  <c r="R25" i="4" a="1"/>
  <c r="R25" i="4" s="1"/>
  <c r="R24" i="4" a="1"/>
  <c r="R24" i="4" s="1"/>
  <c r="R23" i="4" a="1"/>
  <c r="R23" i="4" s="1"/>
  <c r="R22" i="4" a="1"/>
  <c r="R22" i="4" s="1"/>
  <c r="R21" i="4" a="1"/>
  <c r="R21" i="4" s="1"/>
  <c r="R20" i="4" a="1"/>
  <c r="R20" i="4" s="1"/>
  <c r="R19" i="4" a="1"/>
  <c r="R19" i="4" s="1"/>
  <c r="R18" i="4" a="1"/>
  <c r="R18" i="4" s="1"/>
  <c r="R17" i="4" a="1"/>
  <c r="R17" i="4" s="1"/>
  <c r="R16" i="4" a="1"/>
  <c r="R16" i="4" s="1"/>
  <c r="R15" i="4" a="1"/>
  <c r="R15" i="4" s="1"/>
  <c r="R14" i="4" a="1"/>
  <c r="R14" i="4" s="1"/>
  <c r="R13" i="4" a="1"/>
  <c r="R13" i="4" s="1"/>
  <c r="R12" i="4" a="1"/>
  <c r="R12" i="4" s="1"/>
  <c r="R11" i="4" a="1"/>
  <c r="R11" i="4" s="1"/>
  <c r="R10" i="4" a="1"/>
  <c r="R10" i="4" s="1"/>
  <c r="R9" i="4" a="1"/>
  <c r="R9" i="4" s="1"/>
  <c r="R8" i="4" a="1"/>
  <c r="R8" i="4" s="1"/>
  <c r="R7" i="4" a="1"/>
  <c r="R7" i="4" s="1"/>
  <c r="R6" i="4" a="1"/>
  <c r="R6" i="4" s="1"/>
  <c r="R5" i="4" a="1"/>
  <c r="R5" i="4" s="1"/>
  <c r="R4" i="4" a="1"/>
  <c r="R4" i="4" s="1"/>
  <c r="R3" i="4" a="1"/>
  <c r="R3" i="4" s="1"/>
  <c r="R2" i="4" a="1"/>
  <c r="R2" i="4" s="1"/>
  <c r="Q33" i="4" a="1"/>
  <c r="Q33" i="4" s="1"/>
  <c r="Q32" i="4" a="1"/>
  <c r="Q32" i="4" s="1"/>
  <c r="Q31" i="4" a="1"/>
  <c r="Q31" i="4" s="1"/>
  <c r="Q30" i="4" a="1"/>
  <c r="Q30" i="4" s="1"/>
  <c r="Q29" i="4" a="1"/>
  <c r="Q29" i="4" s="1"/>
  <c r="Q28" i="4" a="1"/>
  <c r="Q28" i="4" s="1"/>
  <c r="Q27" i="4" a="1"/>
  <c r="Q27" i="4" s="1"/>
  <c r="Q26" i="4" a="1"/>
  <c r="Q26" i="4" s="1"/>
  <c r="Q25" i="4" a="1"/>
  <c r="Q25" i="4" s="1"/>
  <c r="Q24" i="4" a="1"/>
  <c r="Q24" i="4" s="1"/>
  <c r="Q23" i="4" a="1"/>
  <c r="Q23" i="4" s="1"/>
  <c r="Q22" i="4" a="1"/>
  <c r="Q22" i="4" s="1"/>
  <c r="Q21" i="4" a="1"/>
  <c r="Q21" i="4" s="1"/>
  <c r="Q20" i="4" a="1"/>
  <c r="Q20" i="4" s="1"/>
  <c r="Q19" i="4" a="1"/>
  <c r="Q19" i="4" s="1"/>
  <c r="Q18" i="4" a="1"/>
  <c r="Q18" i="4" s="1"/>
  <c r="Q17" i="4" a="1"/>
  <c r="Q17" i="4" s="1"/>
  <c r="Q16" i="4" a="1"/>
  <c r="Q16" i="4" s="1"/>
  <c r="Q15" i="4" a="1"/>
  <c r="Q15" i="4" s="1"/>
  <c r="Q14" i="4" a="1"/>
  <c r="Q14" i="4" s="1"/>
  <c r="Q13" i="4" a="1"/>
  <c r="Q13" i="4" s="1"/>
  <c r="Q12" i="4" a="1"/>
  <c r="Q12" i="4" s="1"/>
  <c r="Q11" i="4" a="1"/>
  <c r="Q11" i="4" s="1"/>
  <c r="Q10" i="4" a="1"/>
  <c r="Q10" i="4" s="1"/>
  <c r="Q9" i="4" a="1"/>
  <c r="Q9" i="4" s="1"/>
  <c r="Q8" i="4" a="1"/>
  <c r="Q8" i="4" s="1"/>
  <c r="Q7" i="4" a="1"/>
  <c r="Q7" i="4" s="1"/>
  <c r="Q6" i="4" a="1"/>
  <c r="Q6" i="4" s="1"/>
  <c r="Q5" i="4" a="1"/>
  <c r="Q5" i="4" s="1"/>
  <c r="Q4" i="4" a="1"/>
  <c r="Q4" i="4" s="1"/>
  <c r="Q3" i="4" a="1"/>
  <c r="Q3" i="4" s="1"/>
  <c r="Q2" i="4" a="1"/>
  <c r="Q2" i="4" s="1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C33" i="4" a="1"/>
  <c r="C33" i="4" s="1"/>
  <c r="C32" i="4" a="1"/>
  <c r="C32" i="4" s="1"/>
  <c r="C31" i="4" a="1"/>
  <c r="C31" i="4" s="1"/>
  <c r="C30" i="4" a="1"/>
  <c r="C30" i="4" s="1"/>
  <c r="C29" i="4" a="1"/>
  <c r="C29" i="4" s="1"/>
  <c r="C28" i="4" a="1"/>
  <c r="C28" i="4" s="1"/>
  <c r="C27" i="4" a="1"/>
  <c r="C27" i="4" s="1"/>
  <c r="C26" i="4" a="1"/>
  <c r="C26" i="4" s="1"/>
  <c r="C25" i="4" a="1"/>
  <c r="C25" i="4" s="1"/>
  <c r="C24" i="4" a="1"/>
  <c r="C24" i="4" s="1"/>
  <c r="C23" i="4" a="1"/>
  <c r="C23" i="4" s="1"/>
  <c r="C22" i="4" a="1"/>
  <c r="C22" i="4" s="1"/>
  <c r="C21" i="4" a="1"/>
  <c r="C21" i="4" s="1"/>
  <c r="C20" i="4" a="1"/>
  <c r="C20" i="4" s="1"/>
  <c r="C19" i="4" a="1"/>
  <c r="C19" i="4" s="1"/>
  <c r="C18" i="4" a="1"/>
  <c r="C18" i="4" s="1"/>
  <c r="C17" i="4" a="1"/>
  <c r="C17" i="4" s="1"/>
  <c r="C16" i="4" a="1"/>
  <c r="C16" i="4" s="1"/>
  <c r="C15" i="4" a="1"/>
  <c r="C15" i="4" s="1"/>
  <c r="C14" i="4" a="1"/>
  <c r="C14" i="4" s="1"/>
  <c r="C13" i="4" a="1"/>
  <c r="C13" i="4" s="1"/>
  <c r="C12" i="4" a="1"/>
  <c r="C12" i="4" s="1"/>
  <c r="C11" i="4" a="1"/>
  <c r="C11" i="4" s="1"/>
  <c r="C10" i="4" a="1"/>
  <c r="C10" i="4" s="1"/>
  <c r="C9" i="4" a="1"/>
  <c r="C9" i="4" s="1"/>
  <c r="C8" i="4" a="1"/>
  <c r="C8" i="4" s="1"/>
  <c r="C7" i="4" a="1"/>
  <c r="C7" i="4" s="1"/>
  <c r="C6" i="4" a="1"/>
  <c r="C6" i="4" s="1"/>
  <c r="C5" i="4" a="1"/>
  <c r="C5" i="4" s="1"/>
  <c r="C4" i="4" a="1"/>
  <c r="C4" i="4" s="1"/>
  <c r="C3" i="4" a="1"/>
  <c r="C3" i="4" s="1"/>
  <c r="C2" i="4" a="1"/>
  <c r="C2" i="4" s="1"/>
  <c r="I33" i="4"/>
  <c r="H33" i="4"/>
  <c r="G33" i="4"/>
  <c r="F33" i="4"/>
  <c r="E33" i="4"/>
  <c r="I32" i="4"/>
  <c r="H32" i="4"/>
  <c r="G32" i="4"/>
  <c r="F32" i="4"/>
  <c r="E32" i="4"/>
  <c r="I31" i="4"/>
  <c r="H31" i="4"/>
  <c r="G31" i="4"/>
  <c r="F31" i="4"/>
  <c r="E31" i="4"/>
  <c r="I30" i="4"/>
  <c r="H30" i="4"/>
  <c r="G30" i="4"/>
  <c r="F30" i="4"/>
  <c r="E30" i="4"/>
  <c r="I29" i="4"/>
  <c r="H29" i="4"/>
  <c r="G29" i="4"/>
  <c r="F29" i="4"/>
  <c r="E29" i="4"/>
  <c r="I28" i="4"/>
  <c r="H28" i="4"/>
  <c r="G28" i="4"/>
  <c r="F28" i="4"/>
  <c r="E28" i="4"/>
  <c r="I27" i="4"/>
  <c r="H27" i="4"/>
  <c r="G27" i="4"/>
  <c r="F27" i="4"/>
  <c r="E27" i="4"/>
  <c r="I26" i="4"/>
  <c r="H26" i="4"/>
  <c r="G26" i="4"/>
  <c r="F26" i="4"/>
  <c r="E26" i="4"/>
  <c r="I25" i="4"/>
  <c r="H25" i="4"/>
  <c r="G25" i="4"/>
  <c r="F25" i="4"/>
  <c r="E25" i="4"/>
  <c r="I24" i="4"/>
  <c r="H24" i="4"/>
  <c r="G24" i="4"/>
  <c r="F24" i="4"/>
  <c r="E24" i="4"/>
  <c r="I23" i="4"/>
  <c r="H23" i="4"/>
  <c r="G23" i="4"/>
  <c r="F23" i="4"/>
  <c r="E23" i="4"/>
  <c r="I22" i="4"/>
  <c r="H22" i="4"/>
  <c r="G22" i="4"/>
  <c r="F22" i="4"/>
  <c r="E22" i="4"/>
  <c r="I21" i="4"/>
  <c r="H21" i="4"/>
  <c r="G21" i="4"/>
  <c r="F21" i="4"/>
  <c r="E21" i="4"/>
  <c r="I20" i="4"/>
  <c r="H20" i="4"/>
  <c r="G20" i="4"/>
  <c r="F20" i="4"/>
  <c r="E20" i="4"/>
  <c r="I19" i="4"/>
  <c r="H19" i="4"/>
  <c r="G19" i="4"/>
  <c r="F19" i="4"/>
  <c r="E19" i="4"/>
  <c r="I18" i="4"/>
  <c r="H18" i="4"/>
  <c r="G18" i="4"/>
  <c r="F18" i="4"/>
  <c r="E18" i="4"/>
  <c r="I17" i="4"/>
  <c r="H17" i="4"/>
  <c r="G17" i="4"/>
  <c r="F17" i="4"/>
  <c r="E17" i="4"/>
  <c r="I16" i="4"/>
  <c r="H16" i="4"/>
  <c r="G16" i="4"/>
  <c r="F16" i="4"/>
  <c r="E16" i="4"/>
  <c r="I15" i="4"/>
  <c r="H15" i="4"/>
  <c r="G15" i="4"/>
  <c r="F15" i="4"/>
  <c r="E15" i="4"/>
  <c r="I14" i="4"/>
  <c r="H14" i="4"/>
  <c r="G14" i="4"/>
  <c r="F14" i="4"/>
  <c r="E14" i="4"/>
  <c r="I13" i="4"/>
  <c r="H13" i="4"/>
  <c r="G13" i="4"/>
  <c r="F13" i="4"/>
  <c r="E13" i="4"/>
  <c r="I12" i="4"/>
  <c r="H12" i="4"/>
  <c r="G12" i="4"/>
  <c r="F12" i="4"/>
  <c r="E12" i="4"/>
  <c r="I11" i="4"/>
  <c r="H11" i="4"/>
  <c r="G11" i="4"/>
  <c r="F11" i="4"/>
  <c r="E11" i="4"/>
  <c r="I10" i="4"/>
  <c r="H10" i="4"/>
  <c r="G10" i="4"/>
  <c r="F10" i="4"/>
  <c r="E10" i="4"/>
  <c r="I9" i="4"/>
  <c r="H9" i="4"/>
  <c r="G9" i="4"/>
  <c r="F9" i="4"/>
  <c r="E9" i="4"/>
  <c r="I8" i="4"/>
  <c r="H8" i="4"/>
  <c r="G8" i="4"/>
  <c r="F8" i="4"/>
  <c r="E8" i="4"/>
  <c r="I7" i="4"/>
  <c r="H7" i="4"/>
  <c r="G7" i="4"/>
  <c r="F7" i="4"/>
  <c r="E7" i="4"/>
  <c r="I6" i="4"/>
  <c r="H6" i="4"/>
  <c r="G6" i="4"/>
  <c r="F6" i="4"/>
  <c r="E6" i="4"/>
  <c r="I5" i="4"/>
  <c r="H5" i="4"/>
  <c r="G5" i="4"/>
  <c r="F5" i="4"/>
  <c r="E5" i="4"/>
  <c r="I4" i="4"/>
  <c r="H4" i="4"/>
  <c r="G4" i="4"/>
  <c r="F4" i="4"/>
  <c r="E4" i="4"/>
  <c r="I3" i="4"/>
  <c r="H3" i="4"/>
  <c r="G3" i="4"/>
  <c r="F3" i="4"/>
  <c r="E3" i="4"/>
  <c r="I2" i="4"/>
  <c r="H2" i="4"/>
  <c r="G2" i="4"/>
  <c r="F2" i="4"/>
  <c r="E2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D64" i="4" l="1" a="1"/>
  <c r="D64" i="4" s="1"/>
  <c r="E64" i="4" s="1"/>
  <c r="H64" i="4"/>
  <c r="D63" i="4" a="1"/>
  <c r="D63" i="4" s="1"/>
  <c r="E63" i="4" s="1"/>
  <c r="D61" i="4" a="1"/>
  <c r="D61" i="4" s="1"/>
  <c r="E61" i="4" s="1"/>
  <c r="H63" i="4"/>
  <c r="D62" i="4" a="1"/>
  <c r="D62" i="4" s="1"/>
  <c r="E62" i="4" s="1"/>
  <c r="DR32" i="4"/>
  <c r="DR6" i="4"/>
  <c r="DR12" i="4"/>
  <c r="DR16" i="4"/>
  <c r="DR20" i="4"/>
  <c r="DR30" i="4"/>
  <c r="DS4" i="4" a="1"/>
  <c r="DS4" i="4" s="1"/>
  <c r="DS6" i="4" a="1"/>
  <c r="DS6" i="4" s="1"/>
  <c r="DS8" i="4" a="1"/>
  <c r="DS8" i="4" s="1"/>
  <c r="DS10" i="4" a="1"/>
  <c r="DS10" i="4" s="1"/>
  <c r="DS12" i="4" a="1"/>
  <c r="DS12" i="4" s="1"/>
  <c r="DS14" i="4" a="1"/>
  <c r="DS14" i="4" s="1"/>
  <c r="DS16" i="4" a="1"/>
  <c r="DS16" i="4" s="1"/>
  <c r="DS18" i="4" a="1"/>
  <c r="DS18" i="4" s="1"/>
  <c r="DS20" i="4" a="1"/>
  <c r="DS20" i="4" s="1"/>
  <c r="DS22" i="4" a="1"/>
  <c r="DS22" i="4" s="1"/>
  <c r="DS24" i="4" a="1"/>
  <c r="DS24" i="4" s="1"/>
  <c r="DS26" i="4" a="1"/>
  <c r="DS26" i="4" s="1"/>
  <c r="DS28" i="4" a="1"/>
  <c r="DS28" i="4" s="1"/>
  <c r="DS30" i="4" a="1"/>
  <c r="DS30" i="4" s="1"/>
  <c r="DS32" i="4" a="1"/>
  <c r="DS32" i="4" s="1"/>
  <c r="DR26" i="4"/>
  <c r="DR4" i="4"/>
  <c r="DR8" i="4"/>
  <c r="DR10" i="4"/>
  <c r="DR14" i="4"/>
  <c r="DR18" i="4"/>
  <c r="DR28" i="4"/>
  <c r="DT22" i="4" a="1"/>
  <c r="DT22" i="4" s="1"/>
  <c r="DT24" i="4" a="1"/>
  <c r="DT24" i="4" s="1"/>
  <c r="DN3" i="4"/>
  <c r="DN5" i="4"/>
  <c r="DN7" i="4"/>
  <c r="DN9" i="4"/>
  <c r="DN11" i="4"/>
  <c r="DN13" i="4"/>
  <c r="DN15" i="4"/>
  <c r="DN17" i="4"/>
  <c r="DN19" i="4"/>
  <c r="DN21" i="4"/>
  <c r="DN23" i="4"/>
  <c r="DN25" i="4"/>
  <c r="DN27" i="4"/>
  <c r="DN29" i="4"/>
  <c r="DN31" i="4"/>
  <c r="DN33" i="4"/>
  <c r="DO3" i="4" a="1"/>
  <c r="DO3" i="4" s="1"/>
  <c r="DO5" i="4" a="1"/>
  <c r="DO5" i="4" s="1"/>
  <c r="DO7" i="4" a="1"/>
  <c r="DO7" i="4" s="1"/>
  <c r="DO9" i="4" a="1"/>
  <c r="DO9" i="4" s="1"/>
  <c r="DO11" i="4" a="1"/>
  <c r="DO11" i="4" s="1"/>
  <c r="DO13" i="4" a="1"/>
  <c r="DO13" i="4" s="1"/>
  <c r="DO15" i="4" a="1"/>
  <c r="DO15" i="4" s="1"/>
  <c r="DO17" i="4" a="1"/>
  <c r="DO17" i="4" s="1"/>
  <c r="DO19" i="4" a="1"/>
  <c r="DO19" i="4" s="1"/>
  <c r="DO21" i="4" a="1"/>
  <c r="DO21" i="4" s="1"/>
  <c r="DO23" i="4" a="1"/>
  <c r="DO23" i="4" s="1"/>
  <c r="DO25" i="4" a="1"/>
  <c r="DO25" i="4" s="1"/>
  <c r="DO27" i="4" a="1"/>
  <c r="DO27" i="4" s="1"/>
  <c r="DO29" i="4" a="1"/>
  <c r="DO29" i="4" s="1"/>
  <c r="DO31" i="4" a="1"/>
  <c r="DO31" i="4" s="1"/>
  <c r="DO33" i="4" a="1"/>
  <c r="DO33" i="4" s="1"/>
  <c r="F64" i="4"/>
  <c r="G64" i="4" s="1"/>
  <c r="B63" i="4"/>
  <c r="C63" i="4" s="1"/>
  <c r="F63" i="4"/>
  <c r="G63" i="4" s="1"/>
  <c r="F62" i="4"/>
  <c r="G62" i="4" s="1"/>
  <c r="B62" i="4"/>
  <c r="C62" i="4" s="1"/>
  <c r="H62" i="4"/>
  <c r="H61" i="4"/>
  <c r="B61" i="4"/>
  <c r="C61" i="4" s="1"/>
  <c r="F61" i="4"/>
  <c r="G61" i="4" s="1"/>
  <c r="CV22" i="4" a="1"/>
  <c r="CV22" i="4" s="1"/>
  <c r="CU22" i="4" a="1"/>
  <c r="CU22" i="4" s="1"/>
  <c r="CT22" i="4"/>
  <c r="CV16" i="4" a="1"/>
  <c r="CV16" i="4" s="1"/>
  <c r="CU16" i="4" a="1"/>
  <c r="CU16" i="4" s="1"/>
  <c r="CT16" i="4"/>
  <c r="CV18" i="4" a="1"/>
  <c r="CV18" i="4" s="1"/>
  <c r="CU18" i="4" a="1"/>
  <c r="CU18" i="4" s="1"/>
  <c r="CT18" i="4"/>
  <c r="CV24" i="4" a="1"/>
  <c r="CV24" i="4" s="1"/>
  <c r="CU24" i="4" a="1"/>
  <c r="CU24" i="4" s="1"/>
  <c r="CT24" i="4"/>
  <c r="CV30" i="4" a="1"/>
  <c r="CV30" i="4" s="1"/>
  <c r="CT30" i="4"/>
  <c r="CU30" i="4" a="1"/>
  <c r="CU30" i="4" s="1"/>
  <c r="CV8" i="4" a="1"/>
  <c r="CV8" i="4" s="1"/>
  <c r="CU8" i="4" a="1"/>
  <c r="CU8" i="4" s="1"/>
  <c r="CV6" i="4" a="1"/>
  <c r="CV6" i="4" s="1"/>
  <c r="CU6" i="4" a="1"/>
  <c r="CU6" i="4" s="1"/>
  <c r="CV4" i="4" a="1"/>
  <c r="CV4" i="4" s="1"/>
  <c r="CU4" i="4" a="1"/>
  <c r="CU4" i="4" s="1"/>
  <c r="CT4" i="4"/>
  <c r="CV14" i="4" a="1"/>
  <c r="CV14" i="4" s="1"/>
  <c r="CU14" i="4" a="1"/>
  <c r="CU14" i="4" s="1"/>
  <c r="CT14" i="4"/>
  <c r="CV20" i="4" a="1"/>
  <c r="CV20" i="4" s="1"/>
  <c r="CU20" i="4" a="1"/>
  <c r="CU20" i="4" s="1"/>
  <c r="CT20" i="4"/>
  <c r="CV26" i="4" a="1"/>
  <c r="CV26" i="4" s="1"/>
  <c r="CU26" i="4" a="1"/>
  <c r="CU26" i="4" s="1"/>
  <c r="CT26" i="4"/>
  <c r="CV32" i="4" a="1"/>
  <c r="CV32" i="4" s="1"/>
  <c r="CU32" i="4" a="1"/>
  <c r="CU32" i="4" s="1"/>
  <c r="CT32" i="4"/>
  <c r="CV28" i="4" a="1"/>
  <c r="CV28" i="4" s="1"/>
  <c r="CU28" i="4" a="1"/>
  <c r="CU28" i="4" s="1"/>
  <c r="CT28" i="4"/>
  <c r="CV12" i="4" a="1"/>
  <c r="CV12" i="4" s="1"/>
  <c r="CU12" i="4" a="1"/>
  <c r="CU12" i="4" s="1"/>
  <c r="CV10" i="4" a="1"/>
  <c r="CV10" i="4" s="1"/>
  <c r="CU10" i="4" a="1"/>
  <c r="CU10" i="4" s="1"/>
  <c r="AP30" i="4"/>
  <c r="AP18" i="4"/>
  <c r="AP6" i="4"/>
  <c r="AQ26" i="4" a="1"/>
  <c r="AQ26" i="4" s="1"/>
  <c r="AQ14" i="4" a="1"/>
  <c r="AQ14" i="4" s="1"/>
  <c r="AQ2" i="4" a="1"/>
  <c r="AQ2" i="4" s="1"/>
  <c r="AR22" i="4" a="1"/>
  <c r="AR22" i="4" s="1"/>
  <c r="AR10" i="4" a="1"/>
  <c r="AR10" i="4" s="1"/>
  <c r="AT26" i="4"/>
  <c r="AT14" i="4"/>
  <c r="AT2" i="4"/>
  <c r="AU22" i="4" a="1"/>
  <c r="AU22" i="4" s="1"/>
  <c r="AU10" i="4" a="1"/>
  <c r="AU10" i="4" s="1"/>
  <c r="AV30" i="4" a="1"/>
  <c r="AV30" i="4" s="1"/>
  <c r="AV18" i="4" a="1"/>
  <c r="AV18" i="4" s="1"/>
  <c r="AV6" i="4" a="1"/>
  <c r="AV6" i="4" s="1"/>
  <c r="AX22" i="4"/>
  <c r="AX10" i="4"/>
  <c r="AY30" i="4" a="1"/>
  <c r="AY30" i="4" s="1"/>
  <c r="AY18" i="4" a="1"/>
  <c r="AY18" i="4" s="1"/>
  <c r="AY6" i="4" a="1"/>
  <c r="AY6" i="4" s="1"/>
  <c r="AZ26" i="4" a="1"/>
  <c r="AZ26" i="4" s="1"/>
  <c r="AZ14" i="4" a="1"/>
  <c r="AZ14" i="4" s="1"/>
  <c r="AZ2" i="4" a="1"/>
  <c r="AZ2" i="4" s="1"/>
  <c r="BB30" i="4"/>
  <c r="BB18" i="4"/>
  <c r="BB6" i="4"/>
  <c r="BC26" i="4" a="1"/>
  <c r="BC26" i="4" s="1"/>
  <c r="BC15" i="4" a="1"/>
  <c r="BC15" i="4" s="1"/>
  <c r="BC5" i="4" a="1"/>
  <c r="BC5" i="4" s="1"/>
  <c r="BD25" i="4" a="1"/>
  <c r="BD25" i="4" s="1"/>
  <c r="BD13" i="4" a="1"/>
  <c r="BD13" i="4" s="1"/>
  <c r="BF29" i="4"/>
  <c r="BF17" i="4"/>
  <c r="BF5" i="4"/>
  <c r="BG25" i="4" a="1"/>
  <c r="BG25" i="4" s="1"/>
  <c r="BG13" i="4" a="1"/>
  <c r="BG13" i="4" s="1"/>
  <c r="BH33" i="4" a="1"/>
  <c r="BH33" i="4" s="1"/>
  <c r="BH21" i="4" a="1"/>
  <c r="BH21" i="4" s="1"/>
  <c r="BH9" i="4" a="1"/>
  <c r="BH9" i="4" s="1"/>
  <c r="BJ25" i="4"/>
  <c r="BJ13" i="4"/>
  <c r="BK33" i="4" a="1"/>
  <c r="BK33" i="4" s="1"/>
  <c r="BK21" i="4" a="1"/>
  <c r="BK21" i="4" s="1"/>
  <c r="BK9" i="4" a="1"/>
  <c r="BK9" i="4" s="1"/>
  <c r="BL29" i="4" a="1"/>
  <c r="BL29" i="4" s="1"/>
  <c r="BL17" i="4" a="1"/>
  <c r="BL17" i="4" s="1"/>
  <c r="BN33" i="4"/>
  <c r="BN21" i="4"/>
  <c r="BN9" i="4"/>
  <c r="BO29" i="4" a="1"/>
  <c r="BO29" i="4" s="1"/>
  <c r="BO19" i="4" a="1"/>
  <c r="BO19" i="4" s="1"/>
  <c r="BO8" i="4" a="1"/>
  <c r="BO8" i="4" s="1"/>
  <c r="BP29" i="4" a="1"/>
  <c r="BP29" i="4" s="1"/>
  <c r="BP17" i="4" a="1"/>
  <c r="BP17" i="4" s="1"/>
  <c r="BP5" i="4" a="1"/>
  <c r="BP5" i="4" s="1"/>
  <c r="BR33" i="4"/>
  <c r="BR21" i="4"/>
  <c r="BR9" i="4"/>
  <c r="BS29" i="4" a="1"/>
  <c r="BS29" i="4" s="1"/>
  <c r="BS17" i="4" a="1"/>
  <c r="BS17" i="4" s="1"/>
  <c r="BS5" i="4" a="1"/>
  <c r="BS5" i="4" s="1"/>
  <c r="BT25" i="4" a="1"/>
  <c r="BT25" i="4" s="1"/>
  <c r="BT13" i="4" a="1"/>
  <c r="BT13" i="4" s="1"/>
  <c r="AP29" i="4"/>
  <c r="AP17" i="4"/>
  <c r="AP5" i="4"/>
  <c r="AQ25" i="4" a="1"/>
  <c r="AQ25" i="4" s="1"/>
  <c r="AQ13" i="4" a="1"/>
  <c r="AQ13" i="4" s="1"/>
  <c r="AR33" i="4" a="1"/>
  <c r="AR33" i="4" s="1"/>
  <c r="AR21" i="4" a="1"/>
  <c r="AR21" i="4" s="1"/>
  <c r="AR9" i="4" a="1"/>
  <c r="AR9" i="4" s="1"/>
  <c r="AT25" i="4"/>
  <c r="AT13" i="4"/>
  <c r="AU33" i="4" a="1"/>
  <c r="AU33" i="4" s="1"/>
  <c r="AU21" i="4" a="1"/>
  <c r="AU21" i="4" s="1"/>
  <c r="AU9" i="4" a="1"/>
  <c r="AU9" i="4" s="1"/>
  <c r="AV29" i="4" a="1"/>
  <c r="AV29" i="4" s="1"/>
  <c r="AV17" i="4" a="1"/>
  <c r="AV17" i="4" s="1"/>
  <c r="AV5" i="4" a="1"/>
  <c r="AV5" i="4" s="1"/>
  <c r="AX33" i="4"/>
  <c r="AX21" i="4"/>
  <c r="AX9" i="4"/>
  <c r="AY29" i="4" a="1"/>
  <c r="AY29" i="4" s="1"/>
  <c r="AY17" i="4" a="1"/>
  <c r="AY17" i="4" s="1"/>
  <c r="AY5" i="4" a="1"/>
  <c r="AY5" i="4" s="1"/>
  <c r="AZ25" i="4" a="1"/>
  <c r="AZ25" i="4" s="1"/>
  <c r="AZ13" i="4" a="1"/>
  <c r="AZ13" i="4" s="1"/>
  <c r="BB29" i="4"/>
  <c r="BB17" i="4"/>
  <c r="BB5" i="4"/>
  <c r="BC25" i="4" a="1"/>
  <c r="BC25" i="4" s="1"/>
  <c r="BC14" i="4" a="1"/>
  <c r="BC14" i="4" s="1"/>
  <c r="BC4" i="4" a="1"/>
  <c r="BC4" i="4" s="1"/>
  <c r="BD24" i="4" a="1"/>
  <c r="BD24" i="4" s="1"/>
  <c r="BD12" i="4" a="1"/>
  <c r="BD12" i="4" s="1"/>
  <c r="BF28" i="4"/>
  <c r="BF16" i="4"/>
  <c r="BF4" i="4"/>
  <c r="BG24" i="4" a="1"/>
  <c r="BG24" i="4" s="1"/>
  <c r="BG12" i="4" a="1"/>
  <c r="BG12" i="4" s="1"/>
  <c r="BH32" i="4" a="1"/>
  <c r="BH32" i="4" s="1"/>
  <c r="BH20" i="4" a="1"/>
  <c r="BH20" i="4" s="1"/>
  <c r="BH8" i="4" a="1"/>
  <c r="BH8" i="4" s="1"/>
  <c r="BJ24" i="4"/>
  <c r="BJ12" i="4"/>
  <c r="BK32" i="4" a="1"/>
  <c r="BK32" i="4" s="1"/>
  <c r="BK20" i="4" a="1"/>
  <c r="BK20" i="4" s="1"/>
  <c r="BK8" i="4" a="1"/>
  <c r="BK8" i="4" s="1"/>
  <c r="BL28" i="4" a="1"/>
  <c r="BL28" i="4" s="1"/>
  <c r="BL16" i="4" a="1"/>
  <c r="BL16" i="4" s="1"/>
  <c r="BN32" i="4"/>
  <c r="BN20" i="4"/>
  <c r="BN8" i="4"/>
  <c r="BO28" i="4" a="1"/>
  <c r="BO28" i="4" s="1"/>
  <c r="BO18" i="4" a="1"/>
  <c r="BO18" i="4" s="1"/>
  <c r="BP28" i="4" a="1"/>
  <c r="BP28" i="4" s="1"/>
  <c r="BP16" i="4" a="1"/>
  <c r="BP16" i="4" s="1"/>
  <c r="BP4" i="4" a="1"/>
  <c r="BP4" i="4" s="1"/>
  <c r="BR32" i="4"/>
  <c r="BR20" i="4"/>
  <c r="BR8" i="4"/>
  <c r="BS28" i="4" a="1"/>
  <c r="BS28" i="4" s="1"/>
  <c r="BS16" i="4" a="1"/>
  <c r="BS16" i="4" s="1"/>
  <c r="BS4" i="4" a="1"/>
  <c r="BS4" i="4" s="1"/>
  <c r="BT24" i="4" a="1"/>
  <c r="BT24" i="4" s="1"/>
  <c r="BT12" i="4" a="1"/>
  <c r="BT12" i="4" s="1"/>
  <c r="AP28" i="4"/>
  <c r="AP16" i="4"/>
  <c r="AP4" i="4"/>
  <c r="AQ24" i="4" a="1"/>
  <c r="AQ24" i="4" s="1"/>
  <c r="AQ12" i="4" a="1"/>
  <c r="AQ12" i="4" s="1"/>
  <c r="AR32" i="4" a="1"/>
  <c r="AR32" i="4" s="1"/>
  <c r="AR20" i="4" a="1"/>
  <c r="AR20" i="4" s="1"/>
  <c r="AR8" i="4" a="1"/>
  <c r="AR8" i="4" s="1"/>
  <c r="AT24" i="4"/>
  <c r="AT12" i="4"/>
  <c r="AU32" i="4" a="1"/>
  <c r="AU32" i="4" s="1"/>
  <c r="AU20" i="4" a="1"/>
  <c r="AU20" i="4" s="1"/>
  <c r="AU8" i="4" a="1"/>
  <c r="AU8" i="4" s="1"/>
  <c r="AV28" i="4" a="1"/>
  <c r="AV28" i="4" s="1"/>
  <c r="AV16" i="4" a="1"/>
  <c r="AV16" i="4" s="1"/>
  <c r="AV4" i="4" a="1"/>
  <c r="AV4" i="4" s="1"/>
  <c r="AX32" i="4"/>
  <c r="AX20" i="4"/>
  <c r="AX8" i="4"/>
  <c r="AY28" i="4" a="1"/>
  <c r="AY28" i="4" s="1"/>
  <c r="AY16" i="4" a="1"/>
  <c r="AY16" i="4" s="1"/>
  <c r="AY4" i="4" a="1"/>
  <c r="AY4" i="4" s="1"/>
  <c r="AZ24" i="4" a="1"/>
  <c r="AZ24" i="4" s="1"/>
  <c r="AZ12" i="4" a="1"/>
  <c r="AZ12" i="4" s="1"/>
  <c r="BB28" i="4"/>
  <c r="BB16" i="4"/>
  <c r="BB4" i="4"/>
  <c r="BC3" i="4" a="1"/>
  <c r="BC3" i="4" s="1"/>
  <c r="BD23" i="4" a="1"/>
  <c r="BD23" i="4" s="1"/>
  <c r="BD11" i="4" a="1"/>
  <c r="BD11" i="4" s="1"/>
  <c r="BF27" i="4"/>
  <c r="BF15" i="4"/>
  <c r="BF3" i="4"/>
  <c r="BG23" i="4" a="1"/>
  <c r="BG23" i="4" s="1"/>
  <c r="BG11" i="4" a="1"/>
  <c r="BG11" i="4" s="1"/>
  <c r="BH31" i="4" a="1"/>
  <c r="BH31" i="4" s="1"/>
  <c r="BJ23" i="4"/>
  <c r="BJ11" i="4"/>
  <c r="BK31" i="4" a="1"/>
  <c r="BK31" i="4" s="1"/>
  <c r="BK19" i="4" a="1"/>
  <c r="BK19" i="4" s="1"/>
  <c r="BK7" i="4" a="1"/>
  <c r="BK7" i="4" s="1"/>
  <c r="BL27" i="4" a="1"/>
  <c r="BL27" i="4" s="1"/>
  <c r="BN31" i="4"/>
  <c r="BN19" i="4"/>
  <c r="BN7" i="4"/>
  <c r="BO27" i="4" a="1"/>
  <c r="BO27" i="4" s="1"/>
  <c r="BO17" i="4" a="1"/>
  <c r="BO17" i="4" s="1"/>
  <c r="BO7" i="4" a="1"/>
  <c r="BO7" i="4" s="1"/>
  <c r="BP27" i="4" a="1"/>
  <c r="BP27" i="4" s="1"/>
  <c r="BP15" i="4" a="1"/>
  <c r="BP15" i="4" s="1"/>
  <c r="BP3" i="4" a="1"/>
  <c r="BP3" i="4" s="1"/>
  <c r="BR31" i="4"/>
  <c r="BR19" i="4"/>
  <c r="BR7" i="4"/>
  <c r="BS27" i="4" a="1"/>
  <c r="BS27" i="4" s="1"/>
  <c r="BS15" i="4" a="1"/>
  <c r="BS15" i="4" s="1"/>
  <c r="BS3" i="4" a="1"/>
  <c r="BS3" i="4" s="1"/>
  <c r="BT23" i="4" a="1"/>
  <c r="BT23" i="4" s="1"/>
  <c r="BT11" i="4" a="1"/>
  <c r="BT11" i="4" s="1"/>
  <c r="AP27" i="4"/>
  <c r="AP15" i="4"/>
  <c r="AP3" i="4"/>
  <c r="AQ23" i="4" a="1"/>
  <c r="AQ23" i="4" s="1"/>
  <c r="AR31" i="4" a="1"/>
  <c r="AR31" i="4" s="1"/>
  <c r="AR19" i="4" a="1"/>
  <c r="AR19" i="4" s="1"/>
  <c r="AR7" i="4" a="1"/>
  <c r="AR7" i="4" s="1"/>
  <c r="AT23" i="4"/>
  <c r="AT11" i="4"/>
  <c r="AU31" i="4" a="1"/>
  <c r="AU31" i="4" s="1"/>
  <c r="AU19" i="4" a="1"/>
  <c r="AU19" i="4" s="1"/>
  <c r="AV27" i="4" a="1"/>
  <c r="AV27" i="4" s="1"/>
  <c r="AV15" i="4" a="1"/>
  <c r="AV15" i="4" s="1"/>
  <c r="AV3" i="4" a="1"/>
  <c r="AV3" i="4" s="1"/>
  <c r="AX31" i="4"/>
  <c r="AX19" i="4"/>
  <c r="AX7" i="4"/>
  <c r="AY27" i="4" a="1"/>
  <c r="AY27" i="4" s="1"/>
  <c r="AZ23" i="4" a="1"/>
  <c r="AZ23" i="4" s="1"/>
  <c r="AZ11" i="4" a="1"/>
  <c r="AZ11" i="4" s="1"/>
  <c r="BB27" i="4"/>
  <c r="BB15" i="4"/>
  <c r="BB3" i="4"/>
  <c r="BC23" i="4" a="1"/>
  <c r="BC23" i="4" s="1"/>
  <c r="BC13" i="4" a="1"/>
  <c r="BC13" i="4" s="1"/>
  <c r="BC2" i="4" a="1"/>
  <c r="BC2" i="4" s="1"/>
  <c r="BD22" i="4" a="1"/>
  <c r="BD22" i="4" s="1"/>
  <c r="BD10" i="4" a="1"/>
  <c r="BD10" i="4" s="1"/>
  <c r="BF26" i="4"/>
  <c r="BF14" i="4"/>
  <c r="BF2" i="4"/>
  <c r="BG22" i="4" a="1"/>
  <c r="BG22" i="4" s="1"/>
  <c r="BG10" i="4" a="1"/>
  <c r="BG10" i="4" s="1"/>
  <c r="BH30" i="4" a="1"/>
  <c r="BH30" i="4" s="1"/>
  <c r="BH18" i="4" a="1"/>
  <c r="BH18" i="4" s="1"/>
  <c r="BH6" i="4" a="1"/>
  <c r="BH6" i="4" s="1"/>
  <c r="BJ22" i="4"/>
  <c r="BJ10" i="4"/>
  <c r="BK30" i="4" a="1"/>
  <c r="BK30" i="4" s="1"/>
  <c r="BK18" i="4" a="1"/>
  <c r="BK18" i="4" s="1"/>
  <c r="BK6" i="4" a="1"/>
  <c r="BK6" i="4" s="1"/>
  <c r="BL26" i="4" a="1"/>
  <c r="BL26" i="4" s="1"/>
  <c r="BL14" i="4" a="1"/>
  <c r="BL14" i="4" s="1"/>
  <c r="BN30" i="4"/>
  <c r="BN18" i="4"/>
  <c r="BN6" i="4"/>
  <c r="BO26" i="4" a="1"/>
  <c r="BO26" i="4" s="1"/>
  <c r="BO16" i="4" a="1"/>
  <c r="BO16" i="4" s="1"/>
  <c r="BO6" i="4" a="1"/>
  <c r="BO6" i="4" s="1"/>
  <c r="BP26" i="4" a="1"/>
  <c r="BP26" i="4" s="1"/>
  <c r="BP14" i="4" a="1"/>
  <c r="BP14" i="4" s="1"/>
  <c r="BP2" i="4" a="1"/>
  <c r="BP2" i="4" s="1"/>
  <c r="BR30" i="4"/>
  <c r="BR18" i="4"/>
  <c r="BR6" i="4"/>
  <c r="BS26" i="4" a="1"/>
  <c r="BS26" i="4" s="1"/>
  <c r="BS14" i="4" a="1"/>
  <c r="BS14" i="4" s="1"/>
  <c r="BS2" i="4" a="1"/>
  <c r="BS2" i="4" s="1"/>
  <c r="BT22" i="4" a="1"/>
  <c r="BT22" i="4" s="1"/>
  <c r="BT10" i="4" a="1"/>
  <c r="BT10" i="4" s="1"/>
  <c r="AP26" i="4"/>
  <c r="AP14" i="4"/>
  <c r="AP2" i="4"/>
  <c r="AQ22" i="4" a="1"/>
  <c r="AQ22" i="4" s="1"/>
  <c r="AQ10" i="4" a="1"/>
  <c r="AQ10" i="4" s="1"/>
  <c r="AR30" i="4" a="1"/>
  <c r="AR30" i="4" s="1"/>
  <c r="AR18" i="4" a="1"/>
  <c r="AR18" i="4" s="1"/>
  <c r="AR6" i="4" a="1"/>
  <c r="AR6" i="4" s="1"/>
  <c r="AT22" i="4"/>
  <c r="AT10" i="4"/>
  <c r="AU30" i="4" a="1"/>
  <c r="AU30" i="4" s="1"/>
  <c r="AU18" i="4" a="1"/>
  <c r="AU18" i="4" s="1"/>
  <c r="AU6" i="4" a="1"/>
  <c r="AU6" i="4" s="1"/>
  <c r="AV26" i="4" a="1"/>
  <c r="AV26" i="4" s="1"/>
  <c r="AV14" i="4" a="1"/>
  <c r="AV14" i="4" s="1"/>
  <c r="AX30" i="4"/>
  <c r="AX18" i="4"/>
  <c r="AX6" i="4"/>
  <c r="AY26" i="4" a="1"/>
  <c r="AY26" i="4" s="1"/>
  <c r="AY14" i="4" a="1"/>
  <c r="AY14" i="4" s="1"/>
  <c r="AY2" i="4" a="1"/>
  <c r="AY2" i="4" s="1"/>
  <c r="AZ22" i="4" a="1"/>
  <c r="AZ22" i="4" s="1"/>
  <c r="AZ10" i="4" a="1"/>
  <c r="AZ10" i="4" s="1"/>
  <c r="BB26" i="4"/>
  <c r="BB14" i="4"/>
  <c r="BB2" i="4"/>
  <c r="BC22" i="4" a="1"/>
  <c r="BC22" i="4" s="1"/>
  <c r="BD33" i="4" a="1"/>
  <c r="BD33" i="4" s="1"/>
  <c r="BD21" i="4" a="1"/>
  <c r="BD21" i="4" s="1"/>
  <c r="BD9" i="4" a="1"/>
  <c r="BD9" i="4" s="1"/>
  <c r="BF25" i="4"/>
  <c r="BF13" i="4"/>
  <c r="BG33" i="4" a="1"/>
  <c r="BG33" i="4" s="1"/>
  <c r="BG21" i="4" a="1"/>
  <c r="BG21" i="4" s="1"/>
  <c r="BH29" i="4" a="1"/>
  <c r="BH29" i="4" s="1"/>
  <c r="BH17" i="4" a="1"/>
  <c r="BH17" i="4" s="1"/>
  <c r="BJ33" i="4"/>
  <c r="BJ21" i="4"/>
  <c r="BJ9" i="4"/>
  <c r="BK29" i="4" a="1"/>
  <c r="BK29" i="4" s="1"/>
  <c r="BK17" i="4" a="1"/>
  <c r="BK17" i="4" s="1"/>
  <c r="BL25" i="4" a="1"/>
  <c r="BL25" i="4" s="1"/>
  <c r="BL13" i="4" a="1"/>
  <c r="BL13" i="4" s="1"/>
  <c r="BN5" i="4"/>
  <c r="BO15" i="4" a="1"/>
  <c r="BO15" i="4" s="1"/>
  <c r="BP25" i="4" a="1"/>
  <c r="BP25" i="4" s="1"/>
  <c r="BP13" i="4" a="1"/>
  <c r="BP13" i="4" s="1"/>
  <c r="BR29" i="4"/>
  <c r="BR17" i="4"/>
  <c r="BR5" i="4"/>
  <c r="BS25" i="4" a="1"/>
  <c r="BS25" i="4" s="1"/>
  <c r="BS13" i="4" a="1"/>
  <c r="BS13" i="4" s="1"/>
  <c r="BT33" i="4" a="1"/>
  <c r="BT33" i="4" s="1"/>
  <c r="BT21" i="4" a="1"/>
  <c r="BT21" i="4" s="1"/>
  <c r="BT9" i="4" a="1"/>
  <c r="BT9" i="4" s="1"/>
  <c r="AP25" i="4"/>
  <c r="AP13" i="4"/>
  <c r="AQ33" i="4" a="1"/>
  <c r="AQ33" i="4" s="1"/>
  <c r="AQ21" i="4" a="1"/>
  <c r="AQ21" i="4" s="1"/>
  <c r="AR29" i="4" a="1"/>
  <c r="AR29" i="4" s="1"/>
  <c r="AR17" i="4" a="1"/>
  <c r="AR17" i="4" s="1"/>
  <c r="AR5" i="4" a="1"/>
  <c r="AR5" i="4" s="1"/>
  <c r="AT33" i="4"/>
  <c r="AT21" i="4"/>
  <c r="AU29" i="4" a="1"/>
  <c r="AU29" i="4" s="1"/>
  <c r="AV25" i="4" a="1"/>
  <c r="AV25" i="4" s="1"/>
  <c r="AV13" i="4" a="1"/>
  <c r="AV13" i="4" s="1"/>
  <c r="AX29" i="4"/>
  <c r="AX17" i="4"/>
  <c r="AY25" i="4" a="1"/>
  <c r="AY25" i="4" s="1"/>
  <c r="AZ33" i="4" a="1"/>
  <c r="AZ33" i="4" s="1"/>
  <c r="AZ21" i="4" a="1"/>
  <c r="AZ21" i="4" s="1"/>
  <c r="AZ9" i="4" a="1"/>
  <c r="AZ9" i="4" s="1"/>
  <c r="BC33" i="4" a="1"/>
  <c r="BC33" i="4" s="1"/>
  <c r="BC21" i="4" a="1"/>
  <c r="BC21" i="4" s="1"/>
  <c r="BD32" i="4" a="1"/>
  <c r="BD32" i="4" s="1"/>
  <c r="BF24" i="4"/>
  <c r="BF12" i="4"/>
  <c r="BG32" i="4" a="1"/>
  <c r="BG32" i="4" s="1"/>
  <c r="BG20" i="4" a="1"/>
  <c r="BG20" i="4" s="1"/>
  <c r="BH28" i="4" a="1"/>
  <c r="BH28" i="4" s="1"/>
  <c r="BH16" i="4" a="1"/>
  <c r="BH16" i="4" s="1"/>
  <c r="BH4" i="4" a="1"/>
  <c r="BH4" i="4" s="1"/>
  <c r="BJ32" i="4"/>
  <c r="BJ20" i="4"/>
  <c r="BJ8" i="4"/>
  <c r="BK28" i="4" a="1"/>
  <c r="BK28" i="4" s="1"/>
  <c r="BK16" i="4" a="1"/>
  <c r="BK16" i="4" s="1"/>
  <c r="BL24" i="4" a="1"/>
  <c r="BL24" i="4" s="1"/>
  <c r="BL12" i="4" a="1"/>
  <c r="BL12" i="4" s="1"/>
  <c r="BN4" i="4"/>
  <c r="BO25" i="4" a="1"/>
  <c r="BO25" i="4" s="1"/>
  <c r="BO14" i="4" a="1"/>
  <c r="BO14" i="4" s="1"/>
  <c r="BP24" i="4" a="1"/>
  <c r="BP24" i="4" s="1"/>
  <c r="BP12" i="4" a="1"/>
  <c r="BP12" i="4" s="1"/>
  <c r="BR28" i="4"/>
  <c r="BR16" i="4"/>
  <c r="BR4" i="4"/>
  <c r="BS24" i="4" a="1"/>
  <c r="BS24" i="4" s="1"/>
  <c r="BS12" i="4" a="1"/>
  <c r="BS12" i="4" s="1"/>
  <c r="BT32" i="4" a="1"/>
  <c r="BT32" i="4" s="1"/>
  <c r="BT20" i="4" a="1"/>
  <c r="BT20" i="4" s="1"/>
  <c r="BT8" i="4" a="1"/>
  <c r="BT8" i="4" s="1"/>
  <c r="AP24" i="4"/>
  <c r="AQ32" i="4" a="1"/>
  <c r="AQ32" i="4" s="1"/>
  <c r="AR28" i="4" a="1"/>
  <c r="AR28" i="4" s="1"/>
  <c r="AR16" i="4" a="1"/>
  <c r="AR16" i="4" s="1"/>
  <c r="AR4" i="4" a="1"/>
  <c r="AR4" i="4" s="1"/>
  <c r="AV24" i="4" a="1"/>
  <c r="AV24" i="4" s="1"/>
  <c r="AV12" i="4" a="1"/>
  <c r="AV12" i="4" s="1"/>
  <c r="AZ32" i="4" a="1"/>
  <c r="AZ32" i="4" s="1"/>
  <c r="AZ20" i="4" a="1"/>
  <c r="AZ20" i="4" s="1"/>
  <c r="AZ8" i="4" a="1"/>
  <c r="AZ8" i="4" s="1"/>
  <c r="BD31" i="4" a="1"/>
  <c r="BD31" i="4" s="1"/>
  <c r="BD19" i="4" a="1"/>
  <c r="BD19" i="4" s="1"/>
  <c r="BF23" i="4"/>
  <c r="BF11" i="4"/>
  <c r="BG31" i="4" a="1"/>
  <c r="BG31" i="4" s="1"/>
  <c r="BH27" i="4" a="1"/>
  <c r="BH27" i="4" s="1"/>
  <c r="BH15" i="4" a="1"/>
  <c r="BH15" i="4" s="1"/>
  <c r="BH3" i="4" a="1"/>
  <c r="BH3" i="4" s="1"/>
  <c r="BJ31" i="4"/>
  <c r="BJ19" i="4"/>
  <c r="BJ7" i="4"/>
  <c r="BL23" i="4" a="1"/>
  <c r="BL23" i="4" s="1"/>
  <c r="BL11" i="4" a="1"/>
  <c r="BL11" i="4" s="1"/>
  <c r="BN3" i="4"/>
  <c r="BO24" i="4" a="1"/>
  <c r="BO24" i="4" s="1"/>
  <c r="BP23" i="4" a="1"/>
  <c r="BP23" i="4" s="1"/>
  <c r="BR27" i="4"/>
  <c r="BR15" i="4"/>
  <c r="BR3" i="4"/>
  <c r="BS23" i="4" a="1"/>
  <c r="BS23" i="4" s="1"/>
  <c r="BS11" i="4" a="1"/>
  <c r="BS11" i="4" s="1"/>
  <c r="BT31" i="4" a="1"/>
  <c r="BT31" i="4" s="1"/>
  <c r="BT19" i="4" a="1"/>
  <c r="BT19" i="4" s="1"/>
  <c r="BT7" i="4" a="1"/>
  <c r="BT7" i="4" s="1"/>
  <c r="AP23" i="4"/>
  <c r="AQ31" i="4" a="1"/>
  <c r="AQ31" i="4" s="1"/>
  <c r="AQ19" i="4" a="1"/>
  <c r="AQ19" i="4" s="1"/>
  <c r="AQ7" i="4" a="1"/>
  <c r="AQ7" i="4" s="1"/>
  <c r="AR27" i="4" a="1"/>
  <c r="AR27" i="4" s="1"/>
  <c r="AR15" i="4" a="1"/>
  <c r="AR15" i="4" s="1"/>
  <c r="AR3" i="4" a="1"/>
  <c r="AR3" i="4" s="1"/>
  <c r="AT31" i="4"/>
  <c r="AT19" i="4"/>
  <c r="AU27" i="4" a="1"/>
  <c r="AU27" i="4" s="1"/>
  <c r="AU15" i="4" a="1"/>
  <c r="AU15" i="4" s="1"/>
  <c r="AU3" i="4" a="1"/>
  <c r="AU3" i="4" s="1"/>
  <c r="AV23" i="4" a="1"/>
  <c r="AV23" i="4" s="1"/>
  <c r="AV11" i="4" a="1"/>
  <c r="AV11" i="4" s="1"/>
  <c r="AX27" i="4"/>
  <c r="AY23" i="4" a="1"/>
  <c r="AY23" i="4" s="1"/>
  <c r="AY11" i="4" a="1"/>
  <c r="AY11" i="4" s="1"/>
  <c r="AZ31" i="4" a="1"/>
  <c r="AZ31" i="4" s="1"/>
  <c r="AZ19" i="4" a="1"/>
  <c r="AZ19" i="4" s="1"/>
  <c r="AZ7" i="4" a="1"/>
  <c r="AZ7" i="4" s="1"/>
  <c r="BC31" i="4" a="1"/>
  <c r="BC31" i="4" s="1"/>
  <c r="BC9" i="4" a="1"/>
  <c r="BC9" i="4" s="1"/>
  <c r="BD30" i="4" a="1"/>
  <c r="BD30" i="4" s="1"/>
  <c r="BD18" i="4" a="1"/>
  <c r="BD18" i="4" s="1"/>
  <c r="BD6" i="4" a="1"/>
  <c r="BD6" i="4" s="1"/>
  <c r="BF22" i="4"/>
  <c r="BF10" i="4"/>
  <c r="BG30" i="4" a="1"/>
  <c r="BG30" i="4" s="1"/>
  <c r="BG18" i="4" a="1"/>
  <c r="BG18" i="4" s="1"/>
  <c r="BH26" i="4" a="1"/>
  <c r="BH26" i="4" s="1"/>
  <c r="BH14" i="4" a="1"/>
  <c r="BH14" i="4" s="1"/>
  <c r="BH2" i="4" a="1"/>
  <c r="BH2" i="4" s="1"/>
  <c r="BJ30" i="4"/>
  <c r="BJ18" i="4"/>
  <c r="BJ6" i="4"/>
  <c r="BK26" i="4" a="1"/>
  <c r="BK26" i="4" s="1"/>
  <c r="BK14" i="4" a="1"/>
  <c r="BK14" i="4" s="1"/>
  <c r="BL22" i="4" a="1"/>
  <c r="BL22" i="4" s="1"/>
  <c r="BL10" i="4" a="1"/>
  <c r="BL10" i="4" s="1"/>
  <c r="BN2" i="4"/>
  <c r="BO23" i="4" a="1"/>
  <c r="BO23" i="4" s="1"/>
  <c r="BO13" i="4" a="1"/>
  <c r="BO13" i="4" s="1"/>
  <c r="BP22" i="4" a="1"/>
  <c r="BP22" i="4" s="1"/>
  <c r="BP10" i="4" a="1"/>
  <c r="BP10" i="4" s="1"/>
  <c r="BR26" i="4"/>
  <c r="BR14" i="4"/>
  <c r="BR2" i="4"/>
  <c r="BS22" i="4" a="1"/>
  <c r="BS22" i="4" s="1"/>
  <c r="BS10" i="4" a="1"/>
  <c r="BS10" i="4" s="1"/>
  <c r="BT30" i="4" a="1"/>
  <c r="BT30" i="4" s="1"/>
  <c r="BT18" i="4" a="1"/>
  <c r="BT18" i="4" s="1"/>
  <c r="BT6" i="4" a="1"/>
  <c r="BT6" i="4" s="1"/>
  <c r="BC19" i="4" a="1"/>
  <c r="BC19" i="4" s="1"/>
  <c r="BD29" i="4" a="1"/>
  <c r="BD29" i="4" s="1"/>
  <c r="BD17" i="4" a="1"/>
  <c r="BD17" i="4" s="1"/>
  <c r="BO33" i="4" a="1"/>
  <c r="BO33" i="4" s="1"/>
  <c r="BO22" i="4" a="1"/>
  <c r="BO22" i="4" s="1"/>
  <c r="BO12" i="4" a="1"/>
  <c r="BO12" i="4" s="1"/>
  <c r="BP21" i="4" a="1"/>
  <c r="BP21" i="4" s="1"/>
  <c r="BP9" i="4" a="1"/>
  <c r="BP9" i="4" s="1"/>
  <c r="BD28" i="4" a="1"/>
  <c r="BD28" i="4" s="1"/>
  <c r="BD16" i="4" a="1"/>
  <c r="BD16" i="4" s="1"/>
  <c r="BO32" i="4" a="1"/>
  <c r="BO32" i="4" s="1"/>
  <c r="BP20" i="4" a="1"/>
  <c r="BP20" i="4" s="1"/>
  <c r="BC7" i="4" a="1"/>
  <c r="BC7" i="4" s="1"/>
  <c r="BD27" i="4" a="1"/>
  <c r="BD27" i="4" s="1"/>
  <c r="BO31" i="4" a="1"/>
  <c r="BO31" i="4" s="1"/>
  <c r="BO30" i="4" a="1"/>
  <c r="BO30" i="4" s="1"/>
  <c r="B64" i="4" l="1"/>
  <c r="C64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<sst xmlns="http://schemas.openxmlformats.org/spreadsheetml/2006/main" count="2730" uniqueCount="848">
  <si>
    <t>pick</t>
  </si>
  <si>
    <t>round</t>
  </si>
  <si>
    <t>team</t>
  </si>
  <si>
    <t>player</t>
  </si>
  <si>
    <t>position</t>
  </si>
  <si>
    <t>college</t>
  </si>
  <si>
    <t>rank</t>
  </si>
  <si>
    <t>LV</t>
  </si>
  <si>
    <t>Fernando Mendoza</t>
  </si>
  <si>
    <t>QB</t>
  </si>
  <si>
    <t>Indiana</t>
  </si>
  <si>
    <t>NYJ</t>
  </si>
  <si>
    <t>David Bailey</t>
  </si>
  <si>
    <t>EDGE</t>
  </si>
  <si>
    <t>Texas Tech</t>
  </si>
  <si>
    <t>ARI</t>
  </si>
  <si>
    <t>Arvell Reese</t>
  </si>
  <si>
    <t>LB</t>
  </si>
  <si>
    <t>Ohio State</t>
  </si>
  <si>
    <t>TEN</t>
  </si>
  <si>
    <t>Jeremiyah Love</t>
  </si>
  <si>
    <t>RB</t>
  </si>
  <si>
    <t>Notre Dame</t>
  </si>
  <si>
    <t>NYG</t>
  </si>
  <si>
    <t>Sonny Styles</t>
  </si>
  <si>
    <t>CLE</t>
  </si>
  <si>
    <t>Francis Mauigoa</t>
  </si>
  <si>
    <t>OT</t>
  </si>
  <si>
    <t>Miami (FL)</t>
  </si>
  <si>
    <t>WAS</t>
  </si>
  <si>
    <t>Carnell Tate</t>
  </si>
  <si>
    <t>WR</t>
  </si>
  <si>
    <t>NO</t>
  </si>
  <si>
    <t>Rueben Bain</t>
  </si>
  <si>
    <t>KC</t>
  </si>
  <si>
    <t>Mansoor Delane</t>
  </si>
  <si>
    <t>CB</t>
  </si>
  <si>
    <t>LSU</t>
  </si>
  <si>
    <t>Caleb Downs</t>
  </si>
  <si>
    <t>S</t>
  </si>
  <si>
    <t>MIA</t>
  </si>
  <si>
    <t>Jordyn Tyson</t>
  </si>
  <si>
    <t>Arizona State</t>
  </si>
  <si>
    <t>DAL</t>
  </si>
  <si>
    <t>Spencer Fano</t>
  </si>
  <si>
    <t>Utah</t>
  </si>
  <si>
    <t>LAR</t>
  </si>
  <si>
    <t>Makai Lemon</t>
  </si>
  <si>
    <t>USC</t>
  </si>
  <si>
    <t>BAL</t>
  </si>
  <si>
    <t>Olaivavega Ioane</t>
  </si>
  <si>
    <t>IOL</t>
  </si>
  <si>
    <t>Penn State</t>
  </si>
  <si>
    <t>TB</t>
  </si>
  <si>
    <t>Kenyon Sadiq</t>
  </si>
  <si>
    <t>TE</t>
  </si>
  <si>
    <t>Oregon</t>
  </si>
  <si>
    <t>Monroe Freeling</t>
  </si>
  <si>
    <t>Georgia</t>
  </si>
  <si>
    <t>DET</t>
  </si>
  <si>
    <t>Dillon Thieneman</t>
  </si>
  <si>
    <t>MIN</t>
  </si>
  <si>
    <t>Jermod McCoy</t>
  </si>
  <si>
    <t>Tennessee</t>
  </si>
  <si>
    <t>CAR</t>
  </si>
  <si>
    <t>Blake Miller</t>
  </si>
  <si>
    <t>Clemson</t>
  </si>
  <si>
    <t>Akheem Mesidor</t>
  </si>
  <si>
    <t>PIT</t>
  </si>
  <si>
    <t>Ty Simpson</t>
  </si>
  <si>
    <t>Alabama</t>
  </si>
  <si>
    <t>LAC</t>
  </si>
  <si>
    <t>Kadyn Proctor</t>
  </si>
  <si>
    <t>PHI</t>
  </si>
  <si>
    <t>Emmanuel McNeil-Warren</t>
  </si>
  <si>
    <t>Toledo</t>
  </si>
  <si>
    <t>KC Concepcion</t>
  </si>
  <si>
    <t>Texas A&amp;M</t>
  </si>
  <si>
    <t>CHI</t>
  </si>
  <si>
    <t>Keldric Faulk</t>
  </si>
  <si>
    <t>Auburn</t>
  </si>
  <si>
    <t>BUF</t>
  </si>
  <si>
    <t>Caleb Lomu</t>
  </si>
  <si>
    <t>SF</t>
  </si>
  <si>
    <t>Max Iheanachor</t>
  </si>
  <si>
    <t>HOU</t>
  </si>
  <si>
    <t>Colton Hood</t>
  </si>
  <si>
    <t>Denzel Boston</t>
  </si>
  <si>
    <t>Washington</t>
  </si>
  <si>
    <t>Chris Johnson</t>
  </si>
  <si>
    <t>San Diego State</t>
  </si>
  <si>
    <t>NE</t>
  </si>
  <si>
    <t>C.J. Allen</t>
  </si>
  <si>
    <t>SEA</t>
  </si>
  <si>
    <t>Jadarian Price</t>
  </si>
  <si>
    <t>TJ Hall</t>
  </si>
  <si>
    <t>Iowa</t>
  </si>
  <si>
    <t>Malachi Lawrence</t>
  </si>
  <si>
    <t>UCF</t>
  </si>
  <si>
    <t>Kayden McDonald</t>
  </si>
  <si>
    <t>DL</t>
  </si>
  <si>
    <t>Justin Jefferson</t>
  </si>
  <si>
    <t>Peter Woods</t>
  </si>
  <si>
    <t>Zion Young</t>
  </si>
  <si>
    <t>Missouri</t>
  </si>
  <si>
    <t>Avieon Terrell</t>
  </si>
  <si>
    <t>Germie Bernard</t>
  </si>
  <si>
    <t>CIN</t>
  </si>
  <si>
    <t>Bishop Fitzgerald</t>
  </si>
  <si>
    <t>Gabe Jacas</t>
  </si>
  <si>
    <t>Illinois</t>
  </si>
  <si>
    <t>Brandon Cisse</t>
  </si>
  <si>
    <t>South Carolina</t>
  </si>
  <si>
    <t>Keylan Rutledge</t>
  </si>
  <si>
    <t>Georgia Tech</t>
  </si>
  <si>
    <t>Caleb Banks</t>
  </si>
  <si>
    <t>Florida</t>
  </si>
  <si>
    <t>R Mason Thomas</t>
  </si>
  <si>
    <t>Oklahoma</t>
  </si>
  <si>
    <t>IND</t>
  </si>
  <si>
    <t>Jacob Rodriguez</t>
  </si>
  <si>
    <t>ATL</t>
  </si>
  <si>
    <t>Ted Hurst</t>
  </si>
  <si>
    <t>Georgia State</t>
  </si>
  <si>
    <t>Christen Miller</t>
  </si>
  <si>
    <t>Derrick Moore</t>
  </si>
  <si>
    <t>Michigan</t>
  </si>
  <si>
    <t>D'angelo Ponds</t>
  </si>
  <si>
    <t>GB</t>
  </si>
  <si>
    <t>Dani Dennis-Sutton</t>
  </si>
  <si>
    <t>A.J. Haulcy</t>
  </si>
  <si>
    <t>Eli Stowers</t>
  </si>
  <si>
    <t>Vanderbilt</t>
  </si>
  <si>
    <t>Emmanuel Pregnon</t>
  </si>
  <si>
    <t>JAX</t>
  </si>
  <si>
    <t>Anthony Hill Jr.</t>
  </si>
  <si>
    <t>Texas</t>
  </si>
  <si>
    <t>Treydan Stukes</t>
  </si>
  <si>
    <t>Arizona</t>
  </si>
  <si>
    <t>Gennings Dunker</t>
  </si>
  <si>
    <t>Josiah Trotter</t>
  </si>
  <si>
    <t>Gracen Halton</t>
  </si>
  <si>
    <t>Kyle Louis</t>
  </si>
  <si>
    <t>Pittsburgh</t>
  </si>
  <si>
    <t>DEN</t>
  </si>
  <si>
    <t>Joe Royer</t>
  </si>
  <si>
    <t>Cincinnati</t>
  </si>
  <si>
    <t>Lee Hunter</t>
  </si>
  <si>
    <t>Mike Washington Jr.</t>
  </si>
  <si>
    <t>Arkansas</t>
  </si>
  <si>
    <t>Keyron Crawford</t>
  </si>
  <si>
    <t>Caleb Tiernan</t>
  </si>
  <si>
    <t>Northwestern</t>
  </si>
  <si>
    <t>Chris Bell</t>
  </si>
  <si>
    <t>Louisville</t>
  </si>
  <si>
    <t>Antonio Williams</t>
  </si>
  <si>
    <t>Keith Abney II</t>
  </si>
  <si>
    <t>Jaishawn Barham</t>
  </si>
  <si>
    <t>Malachi Fields</t>
  </si>
  <si>
    <t>Max Klare</t>
  </si>
  <si>
    <t>Zachariah Branch</t>
  </si>
  <si>
    <t>Darrell Jackson Jr.</t>
  </si>
  <si>
    <t>Florida State</t>
  </si>
  <si>
    <t>Bryce Lance</t>
  </si>
  <si>
    <t>North Dakota State</t>
  </si>
  <si>
    <t>Domonique Orange</t>
  </si>
  <si>
    <t>Iowa State</t>
  </si>
  <si>
    <t>Jake Golday</t>
  </si>
  <si>
    <t>De'Zhaun Stribling</t>
  </si>
  <si>
    <t>Mississippi</t>
  </si>
  <si>
    <t>Davison Igbinosun</t>
  </si>
  <si>
    <t>Skyler Bell</t>
  </si>
  <si>
    <t>UConn</t>
  </si>
  <si>
    <t>Tyler Onyedim</t>
  </si>
  <si>
    <t>Connor Lew</t>
  </si>
  <si>
    <t>Oscar Delp</t>
  </si>
  <si>
    <t>Daylen Everette</t>
  </si>
  <si>
    <t>Jalen Farmer</t>
  </si>
  <si>
    <t>Kentucky</t>
  </si>
  <si>
    <t>Keionte Scott</t>
  </si>
  <si>
    <t>Jalon Kilgore</t>
  </si>
  <si>
    <t>Joshua Josephs</t>
  </si>
  <si>
    <t>Sam Hecht</t>
  </si>
  <si>
    <t>Kansas State</t>
  </si>
  <si>
    <t>Romello Height</t>
  </si>
  <si>
    <t>Travis Burke</t>
  </si>
  <si>
    <t>Memphis</t>
  </si>
  <si>
    <t>Kaleb Elarms-Orr</t>
  </si>
  <si>
    <t>TCU</t>
  </si>
  <si>
    <t>Garrett Nussmeier</t>
  </si>
  <si>
    <t>Elijah Sarratt</t>
  </si>
  <si>
    <t>Markel Bell</t>
  </si>
  <si>
    <t>Malik Muhammad</t>
  </si>
  <si>
    <t>Kamari Ramsey</t>
  </si>
  <si>
    <t>Zakee Wheatley</t>
  </si>
  <si>
    <t>Carson Beck</t>
  </si>
  <si>
    <t>Sam Roush</t>
  </si>
  <si>
    <t>Stanford</t>
  </si>
  <si>
    <t>Julian Neal</t>
  </si>
  <si>
    <t>Genesis Smith</t>
  </si>
  <si>
    <t>Drew Allar</t>
  </si>
  <si>
    <t>Reggie Virgil</t>
  </si>
  <si>
    <t>Febechi Nwaiwu</t>
  </si>
  <si>
    <t>Charles Demmings</t>
  </si>
  <si>
    <t>Stephen F. Austin</t>
  </si>
  <si>
    <t>Will Kacmarek</t>
  </si>
  <si>
    <t>Jadon Canady</t>
  </si>
  <si>
    <t>Hezekiah Masses</t>
  </si>
  <si>
    <t>California</t>
  </si>
  <si>
    <t>Chase Bisontis</t>
  </si>
  <si>
    <t>Le'Veon Moss</t>
  </si>
  <si>
    <t>Brian Parker II</t>
  </si>
  <si>
    <t>Duke</t>
  </si>
  <si>
    <t>Jackson Kuwatch</t>
  </si>
  <si>
    <t>Miami (OH)</t>
  </si>
  <si>
    <t>Jude Bowry</t>
  </si>
  <si>
    <t>Boston College</t>
  </si>
  <si>
    <t>Cashius Howell</t>
  </si>
  <si>
    <t>Trey Zuhn III</t>
  </si>
  <si>
    <t>Chris Brazzell</t>
  </si>
  <si>
    <t>Bobby Jamison-Travis</t>
  </si>
  <si>
    <t>Justin Joly</t>
  </si>
  <si>
    <t>NC State</t>
  </si>
  <si>
    <t>Michael Heldman</t>
  </si>
  <si>
    <t>Central Michigan</t>
  </si>
  <si>
    <t>Jeff Caldwell</t>
  </si>
  <si>
    <t>Brenen Thompson</t>
  </si>
  <si>
    <t>Mississippi State</t>
  </si>
  <si>
    <t>Omar Cooper Jr.</t>
  </si>
  <si>
    <t>Parker Brailsford</t>
  </si>
  <si>
    <t>Mason Reiger</t>
  </si>
  <si>
    <t>Wisconsin</t>
  </si>
  <si>
    <t>Malik Benson</t>
  </si>
  <si>
    <t>Mikail Kamara</t>
  </si>
  <si>
    <t>Tyreak Sapp</t>
  </si>
  <si>
    <t>Michael Taaffe</t>
  </si>
  <si>
    <t>Cyrus Allen</t>
  </si>
  <si>
    <t>Will Lee III</t>
  </si>
  <si>
    <t>L.T. Overton</t>
  </si>
  <si>
    <t>Carver Willis</t>
  </si>
  <si>
    <t>Dametrious Crownover</t>
  </si>
  <si>
    <t>Kendrick Law</t>
  </si>
  <si>
    <t>Kaden Wetjen</t>
  </si>
  <si>
    <t>Isaiah World</t>
  </si>
  <si>
    <t>Colbie Young</t>
  </si>
  <si>
    <t>Alex Harkey</t>
  </si>
  <si>
    <t>Tyre West</t>
  </si>
  <si>
    <t>Billy Schrauth</t>
  </si>
  <si>
    <t>Chris Hilton</t>
  </si>
  <si>
    <t>Adam Randall</t>
  </si>
  <si>
    <t>Caleb Douglas</t>
  </si>
  <si>
    <t>Tacario Davis</t>
  </si>
  <si>
    <t>Eli Heidenreich</t>
  </si>
  <si>
    <t>Navy</t>
  </si>
  <si>
    <t>Alan Herron</t>
  </si>
  <si>
    <t>Maryland</t>
  </si>
  <si>
    <t>C.J. Daniels</t>
  </si>
  <si>
    <t>Jack Kelly</t>
  </si>
  <si>
    <t>BYU</t>
  </si>
  <si>
    <t>Ephesians Prysock</t>
  </si>
  <si>
    <t>Anthony Lucas</t>
  </si>
  <si>
    <t>Latrell McCutchin</t>
  </si>
  <si>
    <t>Houston</t>
  </si>
  <si>
    <t>Nyjalik Kelly</t>
  </si>
  <si>
    <t>Chris McClellan</t>
  </si>
  <si>
    <t>Caden Curry</t>
  </si>
  <si>
    <t>Jerand Bradley</t>
  </si>
  <si>
    <t>Tanner Koziol</t>
  </si>
  <si>
    <t>Jakobe Thomas</t>
  </si>
  <si>
    <t>Nadame Tucker</t>
  </si>
  <si>
    <t>Western Michigan</t>
  </si>
  <si>
    <t>Ethan Onianwa</t>
  </si>
  <si>
    <t>Harold Perkins</t>
  </si>
  <si>
    <t>Chandler Rivers</t>
  </si>
  <si>
    <t>Cole Wisniewski</t>
  </si>
  <si>
    <t>Louis Moore</t>
  </si>
  <si>
    <t>Gavin Ortega</t>
  </si>
  <si>
    <t>Weber State</t>
  </si>
  <si>
    <t>Devon Marshall</t>
  </si>
  <si>
    <t>Kaelon Black</t>
  </si>
  <si>
    <t>Xavian Sorey Jr.</t>
  </si>
  <si>
    <t>Rene Konga</t>
  </si>
  <si>
    <t>Nick Barrett</t>
  </si>
  <si>
    <t>Jack Endries</t>
  </si>
  <si>
    <t>Max Llewellyn</t>
  </si>
  <si>
    <t>George Gumbs Jr.</t>
  </si>
  <si>
    <t>Kage Casey</t>
  </si>
  <si>
    <t>Boise State</t>
  </si>
  <si>
    <t>Pat Coogan</t>
  </si>
  <si>
    <t>Trey Moore</t>
  </si>
  <si>
    <t>Rayshaun Benny</t>
  </si>
  <si>
    <t>Vincent Anthony Jr.</t>
  </si>
  <si>
    <t>Cian Slone</t>
  </si>
  <si>
    <t>Beau Stephens</t>
  </si>
  <si>
    <t>Andre Fuller</t>
  </si>
  <si>
    <t>J.Michael Sturdivant</t>
  </si>
  <si>
    <t>Zavion Thomas</t>
  </si>
  <si>
    <t>James Brockermeyer</t>
  </si>
  <si>
    <t>Aamil Wagner</t>
  </si>
  <si>
    <t>Logan Fano</t>
  </si>
  <si>
    <t>Eric Rivers</t>
  </si>
  <si>
    <t>Keyshawn James-Newby</t>
  </si>
  <si>
    <t>New Mexico</t>
  </si>
  <si>
    <t>Jonah Coleman</t>
  </si>
  <si>
    <t>Robert Spears-Jennings</t>
  </si>
  <si>
    <t>Quintayvious Hutchins</t>
  </si>
  <si>
    <t>Logan Taylor</t>
  </si>
  <si>
    <t>J.C. Davis</t>
  </si>
  <si>
    <t>Domani Jackson</t>
  </si>
  <si>
    <t>Jalen Huskey</t>
  </si>
  <si>
    <t>Wesley Williams</t>
  </si>
  <si>
    <t>Thaddeus Dixon</t>
  </si>
  <si>
    <t>North Carolina</t>
  </si>
  <si>
    <t>Malik Spencer</t>
  </si>
  <si>
    <t>Michigan State</t>
  </si>
  <si>
    <t>Kapena Gushiken</t>
  </si>
  <si>
    <t>Dalton Johnson</t>
  </si>
  <si>
    <t>Lorenzo Styles Jr.</t>
  </si>
  <si>
    <t>Landon Robinson</t>
  </si>
  <si>
    <t>Drew Shelton</t>
  </si>
  <si>
    <t>Jack Pyburn</t>
  </si>
  <si>
    <t>Caden Barnett</t>
  </si>
  <si>
    <t>Wyoming</t>
  </si>
  <si>
    <t>Diego Pavia</t>
  </si>
  <si>
    <t>Barion Brown</t>
  </si>
  <si>
    <t>Nolan Rucci</t>
  </si>
  <si>
    <t>Dallen Bentley</t>
  </si>
  <si>
    <t>Jaden Dugger</t>
  </si>
  <si>
    <t>Louisiana-Lafayette</t>
  </si>
  <si>
    <t>Collin Wright</t>
  </si>
  <si>
    <t>Tyren Montgomery</t>
  </si>
  <si>
    <t>John Carroll</t>
  </si>
  <si>
    <t>Matt Gulbin</t>
  </si>
  <si>
    <t>Kendal Daniels</t>
  </si>
  <si>
    <t>Jeremiah Williams</t>
  </si>
  <si>
    <t>Marlin Klein</t>
  </si>
  <si>
    <t>Jamarion Miller</t>
  </si>
  <si>
    <t>Ethan Burke</t>
  </si>
  <si>
    <t>Eric McAlister</t>
  </si>
  <si>
    <t>Jarod Washington</t>
  </si>
  <si>
    <t>South Carolina State</t>
  </si>
  <si>
    <t>Tristan Leigh</t>
  </si>
  <si>
    <t>Skyler Gill-Howard</t>
  </si>
  <si>
    <t>Jordan van den Berg</t>
  </si>
  <si>
    <t>Harrison Wallace III</t>
  </si>
  <si>
    <t>DeShon Singleton</t>
  </si>
  <si>
    <t>Nebraska</t>
  </si>
  <si>
    <t>Skyler Thomas</t>
  </si>
  <si>
    <t>Oregon State</t>
  </si>
  <si>
    <t>Jordan Hudson</t>
  </si>
  <si>
    <t>SMU</t>
  </si>
  <si>
    <t>Joe Fagnano</t>
  </si>
  <si>
    <t>Bauer Sharp</t>
  </si>
  <si>
    <t>Chase Roberts</t>
  </si>
  <si>
    <t>Avery Smith</t>
  </si>
  <si>
    <t>Lewis Bond</t>
  </si>
  <si>
    <t>Aidan Hubbard</t>
  </si>
  <si>
    <t>D.J. Campbell</t>
  </si>
  <si>
    <t>David Gusta</t>
  </si>
  <si>
    <t>Toriano Pride</t>
  </si>
  <si>
    <t>Emmanuel Henderson</t>
  </si>
  <si>
    <t>Kansas</t>
  </si>
  <si>
    <t>Ahmari Harvey</t>
  </si>
  <si>
    <t>Anterio Thompson</t>
  </si>
  <si>
    <t>Enrique Cruz Jr.</t>
  </si>
  <si>
    <t>Patrick Payton</t>
  </si>
  <si>
    <t>Nick Dawkins</t>
  </si>
  <si>
    <t>Jacob Thomas</t>
  </si>
  <si>
    <t>James Madison</t>
  </si>
  <si>
    <t>Bryson Eason</t>
  </si>
  <si>
    <t>Aaron Anderson</t>
  </si>
  <si>
    <t>Wade Woodaz</t>
  </si>
  <si>
    <t>Micah Pettus</t>
  </si>
  <si>
    <t>Cam Porter</t>
  </si>
  <si>
    <t>Eric Gentry</t>
  </si>
  <si>
    <t>Xavier Nwankpa</t>
  </si>
  <si>
    <t>Dillon Bell</t>
  </si>
  <si>
    <t>Vinny Anthony II</t>
  </si>
  <si>
    <t>Bryan Thomas Jr.</t>
  </si>
  <si>
    <t>Zach Durfee</t>
  </si>
  <si>
    <t>Cameron Ball</t>
  </si>
  <si>
    <t>Romello Brinson</t>
  </si>
  <si>
    <t>Micah Morris</t>
  </si>
  <si>
    <t>Raiders</t>
  </si>
  <si>
    <r>
      <t>Fernando Mendoza</t>
    </r>
    <r>
      <rPr>
        <sz val="6"/>
        <color rgb="FF757575"/>
        <rFont val="ProximaNova"/>
      </rPr>
      <t>Indiana, QB · POS RK 1</t>
    </r>
  </si>
  <si>
    <t>-</t>
  </si>
  <si>
    <t>Jets</t>
  </si>
  <si>
    <r>
      <t>David Bailey</t>
    </r>
    <r>
      <rPr>
        <sz val="6"/>
        <color rgb="FF757575"/>
        <rFont val="ProximaNova"/>
      </rPr>
      <t>Texas Tech, LB · POS RK 2</t>
    </r>
  </si>
  <si>
    <t>Cardinals</t>
  </si>
  <si>
    <r>
      <t>Jeremiyah Love</t>
    </r>
    <r>
      <rPr>
        <sz val="6"/>
        <color rgb="FF757575"/>
        <rFont val="ProximaNova"/>
      </rPr>
      <t>Notre Dame, RB · POS RK 1</t>
    </r>
  </si>
  <si>
    <t>Titans</t>
  </si>
  <si>
    <r>
      <t>Carnell Tate</t>
    </r>
    <r>
      <rPr>
        <sz val="6"/>
        <color rgb="FF757575"/>
        <rFont val="ProximaNova"/>
      </rPr>
      <t>Ohio State, WR · POS RK 1</t>
    </r>
  </si>
  <si>
    <t>Giants</t>
  </si>
  <si>
    <r>
      <t>Arvell Reese</t>
    </r>
    <r>
      <rPr>
        <sz val="6"/>
        <color rgb="FF757575"/>
        <rFont val="ProximaNova"/>
      </rPr>
      <t>Ohio State, LB · POS RK 1</t>
    </r>
  </si>
  <si>
    <t>Chiefs</t>
  </si>
  <si>
    <r>
      <t>Mansoor Delane</t>
    </r>
    <r>
      <rPr>
        <sz val="6"/>
        <color rgb="FF757575"/>
        <rFont val="ProximaNova"/>
      </rPr>
      <t>LSU, CB · POS RK 1</t>
    </r>
  </si>
  <si>
    <t>Commanders</t>
  </si>
  <si>
    <r>
      <t>Sonny Styles</t>
    </r>
    <r>
      <rPr>
        <sz val="6"/>
        <color rgb="FF757575"/>
        <rFont val="ProximaNova"/>
      </rPr>
      <t>Ohio State, LB · POS RK 3</t>
    </r>
  </si>
  <si>
    <t>Saints</t>
  </si>
  <si>
    <r>
      <t>Jordyn Tyson</t>
    </r>
    <r>
      <rPr>
        <sz val="6"/>
        <color rgb="FF757575"/>
        <rFont val="ProximaNova"/>
      </rPr>
      <t>Arizona State, WR · POS RK 3</t>
    </r>
  </si>
  <si>
    <t>Browns</t>
  </si>
  <si>
    <r>
      <t>Spencer Fano</t>
    </r>
    <r>
      <rPr>
        <sz val="6"/>
        <color rgb="FF757575"/>
        <rFont val="ProximaNova"/>
      </rPr>
      <t>Utah, T · POS RK 2</t>
    </r>
  </si>
  <si>
    <r>
      <t>Francis Mauigoa</t>
    </r>
    <r>
      <rPr>
        <sz val="6"/>
        <color rgb="FF757575"/>
        <rFont val="ProximaNova"/>
      </rPr>
      <t>Miami (FL), T · POS RK 1</t>
    </r>
  </si>
  <si>
    <t>Cowboys</t>
  </si>
  <si>
    <r>
      <t>Caleb Downs</t>
    </r>
    <r>
      <rPr>
        <sz val="6"/>
        <color rgb="FF757575"/>
        <rFont val="ProximaNova"/>
      </rPr>
      <t>Ohio State, S · POS RK 1</t>
    </r>
  </si>
  <si>
    <t>Dolphins</t>
  </si>
  <si>
    <r>
      <t>Kadyn Proctor</t>
    </r>
    <r>
      <rPr>
        <sz val="6"/>
        <color rgb="FF757575"/>
        <rFont val="ProximaNova"/>
      </rPr>
      <t>Alabama, T · POS RK 4</t>
    </r>
  </si>
  <si>
    <t>Rams</t>
  </si>
  <si>
    <r>
      <t>Ty Simpson</t>
    </r>
    <r>
      <rPr>
        <sz val="6"/>
        <color rgb="FF757575"/>
        <rFont val="ProximaNova"/>
      </rPr>
      <t>Alabama, QB · POS RK 2</t>
    </r>
  </si>
  <si>
    <t>Ravens</t>
  </si>
  <si>
    <r>
      <t>Olaivavega Ioane</t>
    </r>
    <r>
      <rPr>
        <sz val="6"/>
        <color rgb="FF757575"/>
        <rFont val="ProximaNova"/>
      </rPr>
      <t>Penn State, G · POS RK 1</t>
    </r>
  </si>
  <si>
    <t>Buccaneers</t>
  </si>
  <si>
    <r>
      <t>Rueben Bain Jr.</t>
    </r>
    <r>
      <rPr>
        <sz val="6"/>
        <color rgb="FF757575"/>
        <rFont val="ProximaNova"/>
      </rPr>
      <t>Miami (FL), DE · POS RK 1</t>
    </r>
  </si>
  <si>
    <r>
      <t>Kenyon Sadiq</t>
    </r>
    <r>
      <rPr>
        <sz val="6"/>
        <color rgb="FF757575"/>
        <rFont val="ProximaNova"/>
      </rPr>
      <t>Oregon, TE · POS RK 1</t>
    </r>
  </si>
  <si>
    <t>Lions</t>
  </si>
  <si>
    <r>
      <t>Blake Miller</t>
    </r>
    <r>
      <rPr>
        <sz val="6"/>
        <color rgb="FF757575"/>
        <rFont val="ProximaNova"/>
      </rPr>
      <t>Clemson, T · POS RK 5</t>
    </r>
  </si>
  <si>
    <t>Vikings</t>
  </si>
  <si>
    <r>
      <t>Caleb Banks</t>
    </r>
    <r>
      <rPr>
        <sz val="6"/>
        <color rgb="FF757575"/>
        <rFont val="ProximaNova"/>
      </rPr>
      <t>Florida, DT · POS RK 1</t>
    </r>
  </si>
  <si>
    <t>Panthers</t>
  </si>
  <si>
    <r>
      <t>Monroe Freeling</t>
    </r>
    <r>
      <rPr>
        <sz val="6"/>
        <color rgb="FF757575"/>
        <rFont val="ProximaNova"/>
      </rPr>
      <t>Georgia, T · POS RK 3</t>
    </r>
  </si>
  <si>
    <t>Eagles</t>
  </si>
  <si>
    <r>
      <t>Makai Lemon</t>
    </r>
    <r>
      <rPr>
        <sz val="6"/>
        <color rgb="FF757575"/>
        <rFont val="ProximaNova"/>
      </rPr>
      <t>USC, WR · POS RK 2</t>
    </r>
  </si>
  <si>
    <t>GB, DAL</t>
  </si>
  <si>
    <t>Steelers</t>
  </si>
  <si>
    <r>
      <t>Max Iheanachor</t>
    </r>
    <r>
      <rPr>
        <sz val="6"/>
        <color rgb="FF757575"/>
        <rFont val="ProximaNova"/>
      </rPr>
      <t>Arizona State, T · POS RK 6</t>
    </r>
  </si>
  <si>
    <t>Chargers</t>
  </si>
  <si>
    <r>
      <t>Akheem Mesidor</t>
    </r>
    <r>
      <rPr>
        <sz val="6"/>
        <color rgb="FF757575"/>
        <rFont val="ProximaNova"/>
      </rPr>
      <t>Miami (FL), DE · POS RK 5</t>
    </r>
  </si>
  <si>
    <r>
      <t>Malachi Lawrence</t>
    </r>
    <r>
      <rPr>
        <sz val="6"/>
        <color rgb="FF757575"/>
        <rFont val="ProximaNova"/>
      </rPr>
      <t>UCF, DE · POS RK 8</t>
    </r>
  </si>
  <si>
    <r>
      <t>KC Concepcion</t>
    </r>
    <r>
      <rPr>
        <sz val="6"/>
        <color rgb="FF757575"/>
        <rFont val="ProximaNova"/>
      </rPr>
      <t>Texas A&amp;M, WR · POS RK 4</t>
    </r>
  </si>
  <si>
    <t>Bears</t>
  </si>
  <si>
    <r>
      <t>Dillon Thieneman</t>
    </r>
    <r>
      <rPr>
        <sz val="6"/>
        <color rgb="FF757575"/>
        <rFont val="ProximaNova"/>
      </rPr>
      <t>Oregon, S · POS RK 2</t>
    </r>
  </si>
  <si>
    <t>Texans</t>
  </si>
  <si>
    <r>
      <t>Keylan Rutledge</t>
    </r>
    <r>
      <rPr>
        <sz val="6"/>
        <color rgb="FF757575"/>
        <rFont val="ProximaNova"/>
      </rPr>
      <t>Georgia Tech, G · POS RK 3</t>
    </r>
  </si>
  <si>
    <r>
      <t>Chris Johnson</t>
    </r>
    <r>
      <rPr>
        <sz val="6"/>
        <color rgb="FF757575"/>
        <rFont val="ProximaNova"/>
      </rPr>
      <t>San Diego State, CB · POS RK 4</t>
    </r>
  </si>
  <si>
    <t>Patriots</t>
  </si>
  <si>
    <r>
      <t>Caleb Lomu</t>
    </r>
    <r>
      <rPr>
        <sz val="6"/>
        <color rgb="FF757575"/>
        <rFont val="ProximaNova"/>
      </rPr>
      <t>Utah, T · POS RK 7</t>
    </r>
  </si>
  <si>
    <t>HOU, BUF</t>
  </si>
  <si>
    <r>
      <t>Peter Woods</t>
    </r>
    <r>
      <rPr>
        <sz val="6"/>
        <color rgb="FF757575"/>
        <rFont val="ProximaNova"/>
      </rPr>
      <t>Clemson, DT · POS RK 3</t>
    </r>
  </si>
  <si>
    <r>
      <t>Omar Cooper Jr.</t>
    </r>
    <r>
      <rPr>
        <sz val="6"/>
        <color rgb="FF757575"/>
        <rFont val="ProximaNova"/>
      </rPr>
      <t>Indiana, WR · POS RK 6</t>
    </r>
  </si>
  <si>
    <t>DEN, MIA, SF</t>
  </si>
  <si>
    <r>
      <t>Keldric Faulk</t>
    </r>
    <r>
      <rPr>
        <sz val="6"/>
        <color rgb="FF757575"/>
        <rFont val="ProximaNova"/>
      </rPr>
      <t>Auburn, DE · POS RK 2</t>
    </r>
  </si>
  <si>
    <t>NE, BUF</t>
  </si>
  <si>
    <t>Seahawks</t>
  </si>
  <si>
    <r>
      <t>Jadarian Price</t>
    </r>
    <r>
      <rPr>
        <sz val="6"/>
        <color rgb="FF757575"/>
        <rFont val="ProximaNova"/>
      </rPr>
      <t>Notre Dame, RB · POS RK 2</t>
    </r>
  </si>
  <si>
    <t>Round</t>
  </si>
  <si>
    <t>Pick</t>
  </si>
  <si>
    <t>Team</t>
  </si>
  <si>
    <t>Player (College, Pos)</t>
  </si>
  <si>
    <t>Trade From</t>
  </si>
  <si>
    <t>Pick #</t>
  </si>
  <si>
    <t>Field Yates</t>
  </si>
  <si>
    <t>Mel Kiper Jr.</t>
  </si>
  <si>
    <t>Peter Schrager</t>
  </si>
  <si>
    <t>Matt Miller</t>
  </si>
  <si>
    <t>Jordan Reid</t>
  </si>
  <si>
    <t>Las Vegas Raiders</t>
  </si>
  <si>
    <t>Fernando Mendoza (QB, Indiana)</t>
  </si>
  <si>
    <t>New York Jets</t>
  </si>
  <si>
    <t>David Bailey (EDGE, Texas Tech)</t>
  </si>
  <si>
    <t>Arvell Reese (LB/EDGE, Ohio State)</t>
  </si>
  <si>
    <t>Arizona Cardinals</t>
  </si>
  <si>
    <t>Jeremiyah Love (RB, Notre Dame)</t>
  </si>
  <si>
    <t>Arvell Reese (EDGE, Ohio State)</t>
  </si>
  <si>
    <t>Francis Mauigoa (OT, Miami)</t>
  </si>
  <si>
    <t>Tennessee Titans</t>
  </si>
  <si>
    <t>Sonny Styles (LB, Ohio State)</t>
  </si>
  <si>
    <t>New York Giants</t>
  </si>
  <si>
    <t>Caleb Downs (S, Ohio State)</t>
  </si>
  <si>
    <t>Jordyn Tyson (WR, Arizona State)</t>
  </si>
  <si>
    <t>Cleveland Browns</t>
  </si>
  <si>
    <t>Monroe Freeling (OT, Georgia)</t>
  </si>
  <si>
    <t>[→ Dallas Cowboys (trade)] Sonny Styles (LB, Ohio State)</t>
  </si>
  <si>
    <t>Spencer Fano (OT, Utah)</t>
  </si>
  <si>
    <t>Carnell Tate (WR, Ohio State)</t>
  </si>
  <si>
    <t>Washington Commanders</t>
  </si>
  <si>
    <t>New Orleans Saints</t>
  </si>
  <si>
    <t>Rueben Bain Jr. (EDGE, Miami)</t>
  </si>
  <si>
    <t>Mansoor Delane (CB, LSU)</t>
  </si>
  <si>
    <t>Kansas City Chiefs</t>
  </si>
  <si>
    <t>[→ Dallas Cowboys (trade)] Mansoor Delane (CB, LSU)</t>
  </si>
  <si>
    <t>New York Giants (via CIN)</t>
  </si>
  <si>
    <t>Olaivavega Ioane (G, Penn State)</t>
  </si>
  <si>
    <t>Miami Dolphins</t>
  </si>
  <si>
    <t>Dallas Cowboys</t>
  </si>
  <si>
    <t>[→ Cleveland Browns (trade)] Kadyn Proctor (OT, Alabama)</t>
  </si>
  <si>
    <t>[→ Kansas City Chiefs (trade)] Rueben Bain Jr. (EDGE, Miami)</t>
  </si>
  <si>
    <t>Dillon Thieneman (S, Oregon)</t>
  </si>
  <si>
    <t>Los Angeles Rams (via ATL)</t>
  </si>
  <si>
    <t>Makai Lemon (WR, USC)</t>
  </si>
  <si>
    <t>[→ Detroit Lions (trade)] Kadyn Proctor (OT, Alabama)</t>
  </si>
  <si>
    <t>Baltimore Ravens</t>
  </si>
  <si>
    <t>Tampa Bay Buccaneers</t>
  </si>
  <si>
    <t>Kenyon Sadiq (TE, Oregon)</t>
  </si>
  <si>
    <t>Akheem Mesidor (EDGE, Miami)</t>
  </si>
  <si>
    <t>Jermod McCoy (CB, Tennessee)</t>
  </si>
  <si>
    <t>New York Jets (via IND)</t>
  </si>
  <si>
    <t>Omar Cooper Jr. (WR, Indiana)</t>
  </si>
  <si>
    <t>Detroit Lions</t>
  </si>
  <si>
    <t>Kadyn Proctor (OT, Alabama)</t>
  </si>
  <si>
    <t>[→ Los Angeles Rams (trade)] Kenyon Sadiq (TE, Oregon)</t>
  </si>
  <si>
    <t>Minnesota Vikings</t>
  </si>
  <si>
    <t>Carolina Panthers</t>
  </si>
  <si>
    <t>Kayden McDonald (DT, Ohio State)</t>
  </si>
  <si>
    <t>Emmanuel McNeil-Warren (S, Toledo)</t>
  </si>
  <si>
    <t>[→ Houston Texans (trade)] Blake Miller (OT, Clemson)</t>
  </si>
  <si>
    <t>Dallas Cowboys (via GB)</t>
  </si>
  <si>
    <t>Keldric Faulk (EDGE, Auburn)</t>
  </si>
  <si>
    <t>[→ Cleveland Browns (trade)] Denzel Boston (WR, Washington)</t>
  </si>
  <si>
    <t>[→ Kansas City Chiefs (trade)] Omar Cooper Jr. (WR, Indiana)</t>
  </si>
  <si>
    <t>Chris Johnson (CB, San Diego State)</t>
  </si>
  <si>
    <t>Pittsburgh Steelers</t>
  </si>
  <si>
    <t>Max Iheanachor (OT, Arizona State)</t>
  </si>
  <si>
    <t>KC Concepcion (WR, Texas A&amp;M)</t>
  </si>
  <si>
    <t>Los Angeles Chargers</t>
  </si>
  <si>
    <t>Peter Woods (DT, Clemson)</t>
  </si>
  <si>
    <t>Philadelphia Eagles</t>
  </si>
  <si>
    <t>Blake Miller (OT, Clemson)</t>
  </si>
  <si>
    <t>Cleveland Browns (via JAX)</t>
  </si>
  <si>
    <t>Denzel Boston (WR, Washington)</t>
  </si>
  <si>
    <t>Chicago Bears</t>
  </si>
  <si>
    <t>R Mason Thomas (EDGE, Oklahoma)</t>
  </si>
  <si>
    <t>Zion Young (EDGE, Missouri)</t>
  </si>
  <si>
    <t>T.J. Parker (EDGE, Clemson)</t>
  </si>
  <si>
    <t>Caleb Lomu (OT, Utah)</t>
  </si>
  <si>
    <t>Buffalo Bills</t>
  </si>
  <si>
    <t>Malachi Lawrence (EDGE, UCF)</t>
  </si>
  <si>
    <t>San Francisco 49ers</t>
  </si>
  <si>
    <t>Houston Texans</t>
  </si>
  <si>
    <t>Christen Miller (DT, Georgia)</t>
  </si>
  <si>
    <t>[→ Carolina Panthers (trade)] KC Concepcion (WR, Texas A&amp;M)</t>
  </si>
  <si>
    <t>[→ Arizona Cardinals (trade)] Ty Simpson (QB, Alabama)</t>
  </si>
  <si>
    <t>Kansas City Chiefs (via LAR)</t>
  </si>
  <si>
    <t>Colton Hood (CB, Tennessee)</t>
  </si>
  <si>
    <t>[→ Dallas Cowboys (trade)] Malachi Lawrence (EDGE, UCF)</t>
  </si>
  <si>
    <t>Miami Dolphins (via DEN)</t>
  </si>
  <si>
    <t>New England Patriots</t>
  </si>
  <si>
    <t>Cashius Howell (EDGE, Texas A&amp;M)</t>
  </si>
  <si>
    <t>Seattle Seahawks</t>
  </si>
  <si>
    <t>Jadarian Price (RB, Notre Dame)</t>
  </si>
  <si>
    <t>Chase Bisontis (G, Texas A&amp;M)</t>
  </si>
  <si>
    <t>Actual Team</t>
  </si>
  <si>
    <t>Actual Player</t>
  </si>
  <si>
    <t>Colin's Mock</t>
  </si>
  <si>
    <t>Colin Exact</t>
  </si>
  <si>
    <t>Yates Exact</t>
  </si>
  <si>
    <t>Kiper Exact</t>
  </si>
  <si>
    <t>Schrager Exact</t>
  </si>
  <si>
    <t>Miller Exact</t>
  </si>
  <si>
    <t>Reid Exact</t>
  </si>
  <si>
    <t>Colin in R1</t>
  </si>
  <si>
    <t>Yates in R1</t>
  </si>
  <si>
    <t>Kiper in R1</t>
  </si>
  <si>
    <t>Schrager in R1</t>
  </si>
  <si>
    <t>Miller in R1</t>
  </si>
  <si>
    <t>Reid in R1</t>
  </si>
  <si>
    <t>Source</t>
  </si>
  <si>
    <t>Colin Team Match</t>
  </si>
  <si>
    <t>Yates Team Match</t>
  </si>
  <si>
    <t>Kiper Team Match</t>
  </si>
  <si>
    <t>Schrager Team Match</t>
  </si>
  <si>
    <t>Miller Team Match</t>
  </si>
  <si>
    <t>Reid Team Match</t>
  </si>
  <si>
    <t>Exact Hits (Player + Pick)</t>
  </si>
  <si>
    <t>Exact %</t>
  </si>
  <si>
    <t>Top 10 Hits (Player in Top 10)</t>
  </si>
  <si>
    <t>Top 10 %</t>
  </si>
  <si>
    <t>R1 Hits (Player in R1)</t>
  </si>
  <si>
    <t>R1 %</t>
  </si>
  <si>
    <t>Right Player→Right Team</t>
  </si>
  <si>
    <t>🎨 LEGEND</t>
  </si>
  <si>
    <t>Exact Hit (Player + Pick)</t>
  </si>
  <si>
    <t>Right Player → Right Team (any pick)</t>
  </si>
  <si>
    <t>Player Made R1 (wrong team)</t>
  </si>
  <si>
    <t>No Match (player did not make R1)</t>
  </si>
  <si>
    <t>Daniel Jeremiah</t>
  </si>
  <si>
    <t>Ryan Wilson (CBS)</t>
  </si>
  <si>
    <t>Brendan Donahue</t>
  </si>
  <si>
    <t>[→ New Orleans Saints (trade)] Arvell Reese (LB/EDGE, Ohio State)</t>
  </si>
  <si>
    <t>[→ Arizona Cardinals (trade)] Francis Mauigoa (OT, Miami)</t>
  </si>
  <si>
    <t>[→ Philadelphia Eagles (trade)] Kadyn Proctor (OT, Alabama)</t>
  </si>
  <si>
    <t>Olaivavega Ioane (IOL, Penn State)</t>
  </si>
  <si>
    <t>[→ Tampa Bay Buccaneers (trade)] Akheem Mesidor (EDGE, Miami)</t>
  </si>
  <si>
    <t>Treydan Stukes (DB, Arizona)</t>
  </si>
  <si>
    <t>[→ Baltimore Ravens (trade)] Peter Woods (DL, Clemson)</t>
  </si>
  <si>
    <t>[→ Cleveland Browns (trade)] Spencer Fano (OT, Utah)</t>
  </si>
  <si>
    <t>[→ Philadelphia Eagles (trade)] Monroe Freeling (OT, Georgia)</t>
  </si>
  <si>
    <t>[→ Tampa Bay Buccaneers (trade)] Kenyon Sadiq (TE, Oregon)</t>
  </si>
  <si>
    <t>Peter Woods (DL, Clemson)</t>
  </si>
  <si>
    <t>Chase Bisontis (IOL, Texas A&amp;M)</t>
  </si>
  <si>
    <t>Kayden McDonald (DL, Ohio State)</t>
  </si>
  <si>
    <t>[→ Dallas Cowboys (trade)] Caleb Downs (S, Ohio State)</t>
  </si>
  <si>
    <t>[→ Kansas City Chiefs (trade)] Jordyn Tyson (WR, Arizona State)</t>
  </si>
  <si>
    <t>[→ Cleveland Browns (trade)] Monroe Freeling (OT, Georgia)</t>
  </si>
  <si>
    <t>[→ Philadelphia Eagles (trade)] Francis Mauigoa (OT, Miami)</t>
  </si>
  <si>
    <t>[→ Kansas City Chiefs (trade)] Chris Johnson (CB, San Diego State)</t>
  </si>
  <si>
    <t>[→ New York Jets (trade)] Omar Cooper Jr. (WR, Indiana)</t>
  </si>
  <si>
    <t>[→ Tampa Bay Buccaneers (trade)] Keldric Faulk (EDGE, Auburn)</t>
  </si>
  <si>
    <t>[→ Dallas Cowboys (trade)] Akheem Mesidor (EDGE, Miami)</t>
  </si>
  <si>
    <t>Rueben Bain Jr.</t>
  </si>
  <si>
    <t>T.J. Parker</t>
  </si>
  <si>
    <t>Jeremiah Exact</t>
  </si>
  <si>
    <t>Jeremiah in R1</t>
  </si>
  <si>
    <t>Jeremiah Team Match</t>
  </si>
  <si>
    <t>Wilson Exact</t>
  </si>
  <si>
    <t>Wilson in R1</t>
  </si>
  <si>
    <t>Wilson Team Match</t>
  </si>
  <si>
    <t>Donahue Exact</t>
  </si>
  <si>
    <t>Donahue in R1</t>
  </si>
  <si>
    <t>Donahue Team Match</t>
  </si>
  <si>
    <t>Dan Parr (NFL.com)</t>
  </si>
  <si>
    <t>Yahoo (Tice/McDonald)</t>
  </si>
  <si>
    <t>Rob Rang (Fox)</t>
  </si>
  <si>
    <t>Lance Zierlein (NFL.com)</t>
  </si>
  <si>
    <t>Eric Edholm (NFL.com)</t>
  </si>
  <si>
    <t>Pete Prisco (CBS)</t>
  </si>
  <si>
    <t>Todd McShay (Ringer)</t>
  </si>
  <si>
    <t>[→ KC trade] Arvell Reese (EDGE, Ohio State)</t>
  </si>
  <si>
    <t>Arvell Reese (LB, Ohio State)</t>
  </si>
  <si>
    <t>[→ DAL trade] Arvell Reese (LB/EDGE, Ohio State)</t>
  </si>
  <si>
    <t>[→ ARI trade] Francis Mauigoa (OT, Miami)</t>
  </si>
  <si>
    <t>Francis Mauigoa (OL, Miami)</t>
  </si>
  <si>
    <t>[→ CLE trade] Spencer Fano (OL, Utah)</t>
  </si>
  <si>
    <t>Ty Simpson (QB, Alabama)</t>
  </si>
  <si>
    <t>Spencer Fano (OL, Utah)</t>
  </si>
  <si>
    <t>Olaivavega Ioane (OG, Penn State)</t>
  </si>
  <si>
    <t>[→ PIT trade] Kadyn Proctor (OT, Alabama)</t>
  </si>
  <si>
    <t>[→ PHI trade] Monroe Freeling (OT, Georgia)</t>
  </si>
  <si>
    <t>Keldric Faulk (DL, Auburn)</t>
  </si>
  <si>
    <t>Peter Woods (IDL, Clemson)</t>
  </si>
  <si>
    <t>Kadyn Proctor (OL, Alabama)</t>
  </si>
  <si>
    <t>Jacob Rodriguez (LB, Texas Tech)</t>
  </si>
  <si>
    <t>[→ TB trade] Malachi Lawrence (EDGE, UCF)</t>
  </si>
  <si>
    <t>[→ CLE trade] Denzel Boston (WR, Washington)</t>
  </si>
  <si>
    <t>Kayden McDonald (IDL, Ohio State)</t>
  </si>
  <si>
    <t>[→ NYJ trade] Omar Cooper Jr. (WR, Indiana)</t>
  </si>
  <si>
    <t>[→ TB trade] Kenyon Sadiq (TE, Oregon)</t>
  </si>
  <si>
    <t>[→ PIT trade] Keldric Faulk (EDGE, Auburn)</t>
  </si>
  <si>
    <t>C.J. Allen (LB, Georgia)</t>
  </si>
  <si>
    <t>[→ ARI trade] Blake Miller (OT, Clemson)</t>
  </si>
  <si>
    <t>Chase Bisontis (OL, Texas A&amp;M)</t>
  </si>
  <si>
    <t>Keylan Rutledge (OL, Georgia Tech)</t>
  </si>
  <si>
    <t>[→ NYJ trade] Colton Hood (CB, Tennessee)</t>
  </si>
  <si>
    <t>Chase Bisontis (OG, Texas A&amp;M)</t>
  </si>
  <si>
    <t>Keylan Rutledge (IOL, Georgia Tech)</t>
  </si>
  <si>
    <t>[→ ARI trade] Ty Simpson (QB, Alabama)</t>
  </si>
  <si>
    <t>Akheem Mesidor (DL, Miami)</t>
  </si>
  <si>
    <t>Treydan Stukes (CB, Arizona)</t>
  </si>
  <si>
    <t>Avieon Terrell (CB, Clemson)</t>
  </si>
  <si>
    <t>Dan Parr</t>
  </si>
  <si>
    <t>Dan Exact</t>
  </si>
  <si>
    <t>Dan in R1</t>
  </si>
  <si>
    <t>Dan Team Match</t>
  </si>
  <si>
    <t>Yahoo Exact</t>
  </si>
  <si>
    <t>Yahoo in R1</t>
  </si>
  <si>
    <t>Yahoo Team Match</t>
  </si>
  <si>
    <t>Rob Rang</t>
  </si>
  <si>
    <t>Rob Exact</t>
  </si>
  <si>
    <t>Rob in R1</t>
  </si>
  <si>
    <t>Rob Team Match</t>
  </si>
  <si>
    <t>Lance Zierlein</t>
  </si>
  <si>
    <t>Lance Exact</t>
  </si>
  <si>
    <t>Lance in R1</t>
  </si>
  <si>
    <t>Lance Team Match</t>
  </si>
  <si>
    <t>Bucky Brooks</t>
  </si>
  <si>
    <t>Bucky Exact</t>
  </si>
  <si>
    <t>Bucky in R1</t>
  </si>
  <si>
    <t>Bucky Team Match</t>
  </si>
  <si>
    <t>Eric Edholm</t>
  </si>
  <si>
    <t>Eric Exact</t>
  </si>
  <si>
    <t>Eric in R1</t>
  </si>
  <si>
    <t>Eric Team Match</t>
  </si>
  <si>
    <t>Pete Prisco</t>
  </si>
  <si>
    <t>Pete Exact</t>
  </si>
  <si>
    <t>Pete in R1</t>
  </si>
  <si>
    <t>Pete Team Match</t>
  </si>
  <si>
    <t>Todd McShay</t>
  </si>
  <si>
    <t>Todd Exact</t>
  </si>
  <si>
    <t>Todd in R1</t>
  </si>
  <si>
    <t>Todd Team Match</t>
  </si>
  <si>
    <t>Bucky Brooks (NFL final 4/21)</t>
  </si>
  <si>
    <t>Dan Parr (NFL)</t>
  </si>
  <si>
    <t>Lance Zierlein (NFL)</t>
  </si>
  <si>
    <t>Bucky Brooks (NFL)</t>
  </si>
  <si>
    <t>Eric Edholm (NFL)</t>
  </si>
  <si>
    <t>Player</t>
  </si>
  <si>
    <t>Position</t>
  </si>
  <si>
    <t>College</t>
  </si>
  <si>
    <t>Rank</t>
  </si>
  <si>
    <t>Flags</t>
  </si>
  <si>
    <t>TRADE</t>
  </si>
  <si>
    <t>RCH</t>
  </si>
  <si>
    <t>VAL</t>
  </si>
  <si>
    <t>TRADE/RCH</t>
  </si>
  <si>
    <t>TRADE/VAL</t>
  </si>
  <si>
    <t>Colin w/Trade</t>
  </si>
  <si>
    <t>ColinTrade Exact</t>
  </si>
  <si>
    <t>ColinTrade in R1</t>
  </si>
  <si>
    <t>ColinTrade Team Match</t>
  </si>
  <si>
    <t>Bills</t>
  </si>
  <si>
    <t>49ers</t>
  </si>
  <si>
    <t>Colts</t>
  </si>
  <si>
    <t>Falcons</t>
  </si>
  <si>
    <t>Packers</t>
  </si>
  <si>
    <t>Jaguars</t>
  </si>
  <si>
    <t>Broncos</t>
  </si>
  <si>
    <t>Bengals</t>
  </si>
  <si>
    <t>Colin's Mock w/Trade</t>
  </si>
  <si>
    <t>NFL Nation (ESPN 4/21)</t>
  </si>
  <si>
    <t>Rob Paul (SBR 3.0 4/23)</t>
  </si>
  <si>
    <t>Lance Reddick/PFF ADP (4/23)</t>
  </si>
  <si>
    <t>Brent Sobleski (B/R 4/21 Scouting)</t>
  </si>
  <si>
    <t>TJ Parker</t>
  </si>
  <si>
    <t>CJ Allen</t>
  </si>
  <si>
    <t>Arch Manning</t>
  </si>
  <si>
    <t>Dante Moore</t>
  </si>
  <si>
    <t>Jeremiah Smith</t>
  </si>
  <si>
    <t>Cam Coleman</t>
  </si>
  <si>
    <t>Jayden Maiava</t>
  </si>
  <si>
    <t>Dylan Stewart</t>
  </si>
  <si>
    <t>Colin Simmons</t>
  </si>
  <si>
    <t>Leonard Moore</t>
  </si>
  <si>
    <t>Malachi Toney</t>
  </si>
  <si>
    <t>Charlie Becker</t>
  </si>
  <si>
    <t>Trevor Goosby</t>
  </si>
  <si>
    <t>Darian Mensah</t>
  </si>
  <si>
    <t>Anthony Smith</t>
  </si>
  <si>
    <t>Ahmad Hardy</t>
  </si>
  <si>
    <t>NFLNation Exact</t>
  </si>
  <si>
    <t>NFLNation in R1</t>
  </si>
  <si>
    <t>NFLNation Team Match</t>
  </si>
  <si>
    <t>Rob Paul (SBR 4/23)</t>
  </si>
  <si>
    <t>RobPaul Exact</t>
  </si>
  <si>
    <t>RobPaul in R1</t>
  </si>
  <si>
    <t>RobPaul Team Match</t>
  </si>
  <si>
    <t>PFF ADP (4/23)</t>
  </si>
  <si>
    <t>PFF Exact</t>
  </si>
  <si>
    <t>PFF in R1</t>
  </si>
  <si>
    <t>PFF Team Match</t>
  </si>
  <si>
    <t>Brent Sobleski (B/R 4/21)</t>
  </si>
  <si>
    <t>Brent Exact</t>
  </si>
  <si>
    <t>Brent in R1</t>
  </si>
  <si>
    <t>Brent Team Match</t>
  </si>
  <si>
    <t>PFF ADP Consensus (4/23)</t>
  </si>
  <si>
    <t>Lou Pickney (DKDB 4/23)</t>
  </si>
  <si>
    <t>Walt Cherepinsky (WalterFootball 4/23)</t>
  </si>
  <si>
    <t>Charlie Campbell (WalterFootball 4/23)</t>
  </si>
  <si>
    <t>Chad Reuter (NFL.com 4/20)</t>
  </si>
  <si>
    <t>Jason Boris (Times News 4/23)</t>
  </si>
  <si>
    <t>Luke Easterling (Athlon 4/23)</t>
  </si>
  <si>
    <t>Vinnie Iyer (Sporting News 4/23)</t>
  </si>
  <si>
    <t>Lou Pickney (DKDB 4/13)</t>
  </si>
  <si>
    <t>Lou Exact</t>
  </si>
  <si>
    <t>Lou in R1</t>
  </si>
  <si>
    <t>Lou Team Match</t>
  </si>
  <si>
    <t>Walt Exact</t>
  </si>
  <si>
    <t>Walt in R1</t>
  </si>
  <si>
    <t>Walt Team Match</t>
  </si>
  <si>
    <t>Charlie Exact</t>
  </si>
  <si>
    <t>Charlie in R1</t>
  </si>
  <si>
    <t>Charlie Team Match</t>
  </si>
  <si>
    <t>Chad Exact</t>
  </si>
  <si>
    <t>Chad in R1</t>
  </si>
  <si>
    <t>Chad Team Match</t>
  </si>
  <si>
    <t>Easter Exact</t>
  </si>
  <si>
    <t>Easter in R1</t>
  </si>
  <si>
    <t>Easter Team Match</t>
  </si>
  <si>
    <t>Vinnie Iyer (SN 4/23)</t>
  </si>
  <si>
    <t>Iyer Exact</t>
  </si>
  <si>
    <t>Iyer in R1</t>
  </si>
  <si>
    <t>Iyer Team Match</t>
  </si>
  <si>
    <t>Lou Pickney (DKDB)</t>
  </si>
  <si>
    <t>Walt Cherepinsky (WalterFootball)</t>
  </si>
  <si>
    <t>Charlie Campbell (WalterFootball)</t>
  </si>
  <si>
    <t>Chad Reuter (NFL.com)</t>
  </si>
  <si>
    <t>Jason Boris (Times News)</t>
  </si>
  <si>
    <t>Luke Easterling (Athlon)</t>
  </si>
  <si>
    <t>Vinnie Iyer (Sporting News)</t>
  </si>
  <si>
    <t>Tony Pauline (ES 4/22)</t>
  </si>
  <si>
    <t>Charles Davis (NFL.com)</t>
  </si>
  <si>
    <t>Josh Edwards (CBS 4/16)</t>
  </si>
  <si>
    <t>Ryan McCrystal (Sharp 4/23)</t>
  </si>
  <si>
    <t>Tony Pauline</t>
  </si>
  <si>
    <t>Pauline Exact</t>
  </si>
  <si>
    <t>Pauline in R1</t>
  </si>
  <si>
    <t>Pauline Team Match</t>
  </si>
  <si>
    <t>Charles Davis</t>
  </si>
  <si>
    <t>Davis Exact</t>
  </si>
  <si>
    <t>Davis in R1</t>
  </si>
  <si>
    <t>Davis Team Match</t>
  </si>
  <si>
    <t>Josh Edwards</t>
  </si>
  <si>
    <t>Edwards Exact</t>
  </si>
  <si>
    <t>Edwards in R1</t>
  </si>
  <si>
    <t>Edwards Team Match</t>
  </si>
  <si>
    <t>Ryan McCrystal</t>
  </si>
  <si>
    <t>McCrystal Exact</t>
  </si>
  <si>
    <t>McCrystal in R1</t>
  </si>
  <si>
    <t>McCrystal Team Match</t>
  </si>
  <si>
    <t>Charles Davis (NFL)</t>
  </si>
  <si>
    <t>Josh Edwards (CBS)</t>
  </si>
  <si>
    <t>Ryan McCrystal (Sharp)</t>
  </si>
  <si>
    <t>Walt Cherepinsky</t>
  </si>
  <si>
    <t>Charlie Campbell</t>
  </si>
  <si>
    <t>Chad Reuter</t>
  </si>
  <si>
    <t>Jason Boris</t>
  </si>
  <si>
    <t>Within 5 Picks</t>
  </si>
  <si>
    <t>Top 5 Hits</t>
  </si>
  <si>
    <t>Avg Pick Distance</t>
  </si>
  <si>
    <t>Unique Correct Picks</t>
  </si>
  <si>
    <t>Jason Exact</t>
  </si>
  <si>
    <t>Jason in R1</t>
  </si>
  <si>
    <t>Jason Team Match</t>
  </si>
  <si>
    <t>Total Exact Hits per Pick</t>
  </si>
  <si>
    <t>Total Exact Hits (all analysts)</t>
  </si>
  <si>
    <t>📊 LEADERBOARD — Mock Draft Accuracy (31 Mocks) with Expanded Metrics</t>
  </si>
  <si>
    <t>🏈 2026 NFL MOCK DRAFT ACCURACY DASHBOARD</t>
  </si>
  <si>
    <t>Colin's Model-Built Mock vs. 30 Professional Analyst Mocks  |  April 23, 2026</t>
  </si>
  <si>
    <t>📊 YOUR MOCK DRAFT — KEY METRICS</t>
  </si>
  <si>
    <t>EXACT HITS (Player + Pick)</t>
  </si>
  <si>
    <t>out of 32 picks</t>
  </si>
  <si>
    <t>TOP 10 HITS</t>
  </si>
  <si>
    <t>correctly in actual top 10</t>
  </si>
  <si>
    <t>ROUND 1 HITS</t>
  </si>
  <si>
    <t>players projected to R1</t>
  </si>
  <si>
    <t>RIGHT PLAYER → RIGHT TEAM</t>
  </si>
  <si>
    <t>player-team combos nailed</t>
  </si>
  <si>
    <t>WITHIN 5 PICKS</t>
  </si>
  <si>
    <t>predictions within ±5 slots</t>
  </si>
  <si>
    <t>AVG PICK DIST</t>
  </si>
  <si>
    <t>lower is better</t>
  </si>
  <si>
    <t>🎯 YOUR RANKING</t>
  </si>
  <si>
    <t>EXACT HITS RANK</t>
  </si>
  <si>
    <t>R1 HIT RATE</t>
  </si>
  <si>
    <t>BEAT HOW MANY PROS?</t>
  </si>
  <si>
    <t>🏆 FULL LEADERBOARD (Sorted by Exact Hits)</t>
  </si>
  <si>
    <t>Exact</t>
  </si>
  <si>
    <t>Top 10</t>
  </si>
  <si>
    <t>R1</t>
  </si>
  <si>
    <t>Team Match</t>
  </si>
  <si>
    <t>Within 5</t>
  </si>
  <si>
    <t>Avg Dist</t>
  </si>
  <si>
    <t>Unique</t>
  </si>
  <si>
    <t>Top 5</t>
  </si>
  <si>
    <t>💡 KEY INSIGHTS</t>
  </si>
  <si>
    <t>🥇 TOP ANALYST</t>
  </si>
  <si>
    <t>📊 AVG EXACT HITS</t>
  </si>
  <si>
    <t>🎯 BEST R1 COVERAGE</t>
  </si>
  <si>
    <t>🏈 YOUR PERCENTILE</t>
  </si>
  <si>
    <t>📌 Data sources: Accuracy Analysis sheet (rows 38-70). All values are live formula-linked — update automatically when source data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</si>
</sst>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%"/>
    <numFmt numFmtId="169" formatCode="0&quot; / 5&quot;"/>
    <numFmt numFmtId="170" formatCode="0.0"/>
  </numFmts>
  <fonts count="3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rgb="FF757575"/>
      <name val="ProximaNova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757575"/>
      <name val="Calibri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i/>
      <sz val="12"/>
      <color rgb="FFFFFF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28"/>
      <color rgb="FF1F3864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28"/>
      <color rgb="FF2E75B6"/>
      <name val="Aptos Narrow"/>
      <family val="2"/>
      <scheme val="minor"/>
    </font>
    <font>
      <b/>
      <sz val="28"/>
      <color rgb="FF548235"/>
      <name val="Aptos Narrow"/>
      <family val="2"/>
      <scheme val="minor"/>
    </font>
    <font>
      <b/>
      <sz val="28"/>
      <color rgb="FFC65911"/>
      <name val="Aptos Narrow"/>
      <family val="2"/>
      <scheme val="minor"/>
    </font>
    <font>
      <b/>
      <sz val="28"/>
      <color rgb="FF7030A0"/>
      <name val="Aptos Narrow"/>
      <family val="2"/>
      <scheme val="minor"/>
    </font>
    <font>
      <b/>
      <sz val="28"/>
      <color rgb="FFBF4B00"/>
      <name val="Aptos Narrow"/>
      <family val="2"/>
      <scheme val="minor"/>
    </font>
    <font>
      <b/>
      <sz val="20"/>
      <color rgb="FF1F3864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C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2"/>
      <color rgb="FF2E75B6"/>
      <name val="Aptos Narrow"/>
      <family val="2"/>
      <scheme val="minor"/>
    </font>
    <font>
      <b/>
      <sz val="12"/>
      <color rgb="FF548235"/>
      <name val="Aptos Narrow"/>
      <family val="2"/>
      <scheme val="minor"/>
    </font>
    <font>
      <b/>
      <sz val="12"/>
      <color rgb="FFC65911"/>
      <name val="Aptos Narrow"/>
      <family val="2"/>
      <scheme val="minor"/>
    </font>
    <font>
      <i/>
      <sz val="9"/>
      <color rgb="FF7F7F7F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D58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4B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1F4E78"/>
      </left>
      <right style="thin">
        <color rgb="FF1F4E78"/>
      </right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 style="thin">
        <color auto="1"/>
      </right>
      <top style="thin">
        <color rgb="FF1F4E78"/>
      </top>
      <bottom style="thin">
        <color auto="1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auto="1"/>
      </bottom>
      <diagonal/>
    </border>
    <border>
      <left style="thin">
        <color rgb="FF1F4E78"/>
      </left>
      <right style="thin">
        <color rgb="FF1F4E78"/>
      </right>
      <top style="thin">
        <color auto="1"/>
      </top>
      <bottom style="thin">
        <color auto="1"/>
      </bottom>
      <diagonal/>
    </border>
    <border>
      <left style="thin">
        <color rgb="FF1F4E7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4E78"/>
      </left>
      <right style="thin">
        <color rgb="FF1F4E78"/>
      </right>
      <top style="thin">
        <color auto="1"/>
      </top>
      <bottom/>
      <diagonal/>
    </border>
    <border>
      <left style="thin">
        <color rgb="FF1F4E78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/>
      <diagonal/>
    </border>
    <border>
      <left/>
      <right/>
      <top/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 style="medium">
        <color rgb="FF1F3864"/>
      </right>
      <top/>
      <bottom/>
      <diagonal/>
    </border>
    <border>
      <left style="medium">
        <color rgb="FF1F3864"/>
      </left>
      <right style="medium">
        <color rgb="FF1F3864"/>
      </right>
      <top/>
      <bottom style="medium">
        <color rgb="FF1F38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1" fillId="5" borderId="0" xfId="0" applyFont="1" applyFill="1"/>
    <xf numFmtId="0" fontId="1" fillId="6" borderId="0" xfId="0" applyFont="1" applyFill="1"/>
    <xf numFmtId="168" fontId="0" fillId="0" borderId="0" xfId="0" applyNumberFormat="1"/>
    <xf numFmtId="0" fontId="1" fillId="7" borderId="0" xfId="0" applyFont="1" applyFill="1" applyAlignment="1">
      <alignment horizontal="center"/>
    </xf>
    <xf numFmtId="0" fontId="0" fillId="10" borderId="0" xfId="0" applyFill="1"/>
    <xf numFmtId="0" fontId="12" fillId="5" borderId="0" xfId="0" applyFont="1" applyFill="1"/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168" fontId="0" fillId="0" borderId="3" xfId="0" applyNumberFormat="1" applyBorder="1" applyAlignment="1">
      <alignment horizontal="center"/>
    </xf>
    <xf numFmtId="0" fontId="0" fillId="11" borderId="0" xfId="0" applyFill="1"/>
    <xf numFmtId="0" fontId="11" fillId="5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10" borderId="4" xfId="0" applyFont="1" applyFill="1" applyBorder="1"/>
    <xf numFmtId="0" fontId="0" fillId="0" borderId="4" xfId="0" applyBorder="1"/>
    <xf numFmtId="0" fontId="8" fillId="12" borderId="5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1" fillId="16" borderId="9" xfId="0" applyFont="1" applyFill="1" applyBorder="1" applyAlignment="1">
      <alignment horizontal="left"/>
    </xf>
    <xf numFmtId="0" fontId="0" fillId="16" borderId="9" xfId="0" applyFill="1" applyBorder="1" applyAlignment="1">
      <alignment horizontal="center"/>
    </xf>
    <xf numFmtId="168" fontId="0" fillId="16" borderId="9" xfId="0" applyNumberFormat="1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1" fillId="11" borderId="10" xfId="0" applyFont="1" applyFill="1" applyBorder="1" applyAlignment="1">
      <alignment horizontal="left"/>
    </xf>
    <xf numFmtId="0" fontId="0" fillId="11" borderId="10" xfId="0" applyFill="1" applyBorder="1" applyAlignment="1">
      <alignment horizontal="center"/>
    </xf>
    <xf numFmtId="168" fontId="0" fillId="11" borderId="10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11" fillId="17" borderId="0" xfId="0" applyFont="1" applyFill="1" applyAlignment="1">
      <alignment horizontal="center" wrapText="1"/>
    </xf>
    <xf numFmtId="0" fontId="0" fillId="16" borderId="0" xfId="0" applyFill="1"/>
    <xf numFmtId="168" fontId="0" fillId="16" borderId="0" xfId="0" applyNumberFormat="1" applyFill="1"/>
    <xf numFmtId="168" fontId="0" fillId="11" borderId="0" xfId="0" applyNumberFormat="1" applyFill="1"/>
    <xf numFmtId="0" fontId="1" fillId="16" borderId="12" xfId="0" applyFont="1" applyFill="1" applyBorder="1" applyAlignment="1">
      <alignment horizontal="left"/>
    </xf>
    <xf numFmtId="0" fontId="0" fillId="16" borderId="12" xfId="0" applyFill="1" applyBorder="1" applyAlignment="1">
      <alignment horizontal="center"/>
    </xf>
    <xf numFmtId="168" fontId="0" fillId="16" borderId="12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168" fontId="0" fillId="11" borderId="2" xfId="0" applyNumberForma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168" fontId="0" fillId="16" borderId="2" xfId="0" applyNumberFormat="1" applyFill="1" applyBorder="1" applyAlignment="1">
      <alignment horizontal="center"/>
    </xf>
    <xf numFmtId="0" fontId="1" fillId="16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left"/>
    </xf>
    <xf numFmtId="0" fontId="0" fillId="6" borderId="0" xfId="0" applyFill="1"/>
    <xf numFmtId="0" fontId="0" fillId="7" borderId="0" xfId="0" applyFont="1" applyFill="1"/>
    <xf numFmtId="0" fontId="0" fillId="11" borderId="0" xfId="0" applyFont="1" applyFill="1"/>
    <xf numFmtId="0" fontId="0" fillId="18" borderId="0" xfId="0" applyFill="1"/>
    <xf numFmtId="0" fontId="0" fillId="18" borderId="0" xfId="0" applyFont="1" applyFill="1"/>
    <xf numFmtId="0" fontId="1" fillId="19" borderId="2" xfId="0" applyFont="1" applyFill="1" applyBorder="1" applyAlignment="1">
      <alignment horizontal="left"/>
    </xf>
    <xf numFmtId="0" fontId="1" fillId="19" borderId="2" xfId="0" applyFont="1" applyFill="1" applyBorder="1" applyAlignment="1">
      <alignment horizontal="center"/>
    </xf>
    <xf numFmtId="168" fontId="1" fillId="19" borderId="2" xfId="0" applyNumberFormat="1" applyFont="1" applyFill="1" applyBorder="1" applyAlignment="1">
      <alignment horizontal="center"/>
    </xf>
    <xf numFmtId="0" fontId="1" fillId="20" borderId="3" xfId="0" applyFont="1" applyFill="1" applyBorder="1" applyAlignment="1">
      <alignment horizontal="left"/>
    </xf>
    <xf numFmtId="0" fontId="1" fillId="20" borderId="3" xfId="0" applyFont="1" applyFill="1" applyBorder="1" applyAlignment="1">
      <alignment horizontal="center"/>
    </xf>
    <xf numFmtId="168" fontId="1" fillId="20" borderId="3" xfId="0" applyNumberFormat="1" applyFont="1" applyFill="1" applyBorder="1" applyAlignment="1">
      <alignment horizontal="center"/>
    </xf>
    <xf numFmtId="0" fontId="1" fillId="21" borderId="0" xfId="0" applyFont="1" applyFill="1"/>
    <xf numFmtId="168" fontId="1" fillId="21" borderId="0" xfId="0" applyNumberFormat="1" applyFont="1" applyFill="1"/>
    <xf numFmtId="0" fontId="0" fillId="9" borderId="0" xfId="0" applyFill="1"/>
    <xf numFmtId="0" fontId="11" fillId="21" borderId="0" xfId="0" applyFont="1" applyFill="1" applyAlignment="1">
      <alignment horizontal="center" wrapText="1"/>
    </xf>
    <xf numFmtId="0" fontId="0" fillId="22" borderId="0" xfId="0" applyFill="1"/>
    <xf numFmtId="168" fontId="0" fillId="10" borderId="0" xfId="0" applyNumberFormat="1" applyFill="1"/>
    <xf numFmtId="0" fontId="11" fillId="5" borderId="6" xfId="0" applyFont="1" applyFill="1" applyBorder="1" applyAlignment="1">
      <alignment horizontal="center" wrapText="1"/>
    </xf>
    <xf numFmtId="0" fontId="13" fillId="0" borderId="0" xfId="0" applyFont="1"/>
    <xf numFmtId="1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4" fillId="23" borderId="0" xfId="0" applyFont="1" applyFill="1" applyAlignment="1">
      <alignment horizontal="center" vertical="center"/>
    </xf>
    <xf numFmtId="0" fontId="15" fillId="24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left" vertical="center" indent="1"/>
    </xf>
    <xf numFmtId="0" fontId="19" fillId="11" borderId="0" xfId="0" applyFont="1" applyFill="1" applyBorder="1" applyAlignment="1">
      <alignment horizontal="center" vertical="center"/>
    </xf>
    <xf numFmtId="0" fontId="18" fillId="23" borderId="14" xfId="0" applyFont="1" applyFill="1" applyBorder="1" applyAlignment="1">
      <alignment horizontal="center" vertical="center"/>
    </xf>
    <xf numFmtId="0" fontId="20" fillId="16" borderId="15" xfId="0" applyFont="1" applyFill="1" applyBorder="1" applyAlignment="1">
      <alignment horizontal="center" vertical="center"/>
    </xf>
    <xf numFmtId="0" fontId="18" fillId="23" borderId="16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20" fillId="16" borderId="18" xfId="0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21" fillId="11" borderId="0" xfId="0" applyFont="1" applyFill="1" applyBorder="1" applyAlignment="1">
      <alignment horizontal="center" vertical="center"/>
    </xf>
    <xf numFmtId="0" fontId="18" fillId="24" borderId="16" xfId="0" applyFont="1" applyFill="1" applyBorder="1" applyAlignment="1">
      <alignment horizontal="center" vertical="center"/>
    </xf>
    <xf numFmtId="0" fontId="18" fillId="24" borderId="14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0" fontId="22" fillId="11" borderId="0" xfId="0" applyFont="1" applyFill="1" applyBorder="1" applyAlignment="1">
      <alignment horizontal="center" vertical="center"/>
    </xf>
    <xf numFmtId="0" fontId="18" fillId="25" borderId="16" xfId="0" applyFont="1" applyFill="1" applyBorder="1" applyAlignment="1">
      <alignment horizontal="center" vertical="center"/>
    </xf>
    <xf numFmtId="0" fontId="18" fillId="25" borderId="14" xfId="0" applyFont="1" applyFill="1" applyBorder="1" applyAlignment="1">
      <alignment horizontal="center" vertical="center"/>
    </xf>
    <xf numFmtId="0" fontId="23" fillId="11" borderId="17" xfId="0" applyFont="1" applyFill="1" applyBorder="1" applyAlignment="1">
      <alignment horizontal="center" vertical="center"/>
    </xf>
    <xf numFmtId="0" fontId="23" fillId="11" borderId="0" xfId="0" applyFont="1" applyFill="1" applyBorder="1" applyAlignment="1">
      <alignment horizontal="center" vertical="center"/>
    </xf>
    <xf numFmtId="0" fontId="18" fillId="26" borderId="16" xfId="0" applyFont="1" applyFill="1" applyBorder="1" applyAlignment="1">
      <alignment horizontal="center" vertical="center"/>
    </xf>
    <xf numFmtId="0" fontId="18" fillId="26" borderId="14" xfId="0" applyFont="1" applyFill="1" applyBorder="1" applyAlignment="1">
      <alignment horizontal="center" vertical="center"/>
    </xf>
    <xf numFmtId="0" fontId="18" fillId="26" borderId="19" xfId="0" applyFont="1" applyFill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/>
    </xf>
    <xf numFmtId="0" fontId="24" fillId="11" borderId="0" xfId="0" applyFont="1" applyFill="1" applyBorder="1" applyAlignment="1">
      <alignment horizontal="center" vertical="center"/>
    </xf>
    <xf numFmtId="0" fontId="18" fillId="27" borderId="16" xfId="0" applyFont="1" applyFill="1" applyBorder="1" applyAlignment="1">
      <alignment horizontal="center" vertical="center"/>
    </xf>
    <xf numFmtId="0" fontId="18" fillId="27" borderId="14" xfId="0" applyFont="1" applyFill="1" applyBorder="1" applyAlignment="1">
      <alignment horizontal="center" vertical="center"/>
    </xf>
    <xf numFmtId="0" fontId="18" fillId="28" borderId="21" xfId="0" applyFont="1" applyFill="1" applyBorder="1" applyAlignment="1">
      <alignment horizontal="center" vertical="center"/>
    </xf>
    <xf numFmtId="0" fontId="25" fillId="11" borderId="22" xfId="0" applyFont="1" applyFill="1" applyBorder="1" applyAlignment="1">
      <alignment horizontal="center" vertical="center"/>
    </xf>
    <xf numFmtId="0" fontId="20" fillId="16" borderId="23" xfId="0" applyFont="1" applyFill="1" applyBorder="1" applyAlignment="1">
      <alignment horizontal="center" vertical="center"/>
    </xf>
    <xf numFmtId="0" fontId="16" fillId="29" borderId="14" xfId="0" applyFont="1" applyFill="1" applyBorder="1" applyAlignment="1">
      <alignment horizontal="center" vertical="center"/>
    </xf>
    <xf numFmtId="0" fontId="26" fillId="11" borderId="15" xfId="0" applyFont="1" applyFill="1" applyBorder="1" applyAlignment="1">
      <alignment horizontal="center" vertical="center"/>
    </xf>
    <xf numFmtId="0" fontId="16" fillId="29" borderId="16" xfId="0" applyFont="1" applyFill="1" applyBorder="1" applyAlignment="1">
      <alignment horizontal="center" vertical="center"/>
    </xf>
    <xf numFmtId="0" fontId="26" fillId="11" borderId="18" xfId="0" applyFont="1" applyFill="1" applyBorder="1" applyAlignment="1">
      <alignment horizontal="center" vertical="center"/>
    </xf>
    <xf numFmtId="0" fontId="11" fillId="30" borderId="16" xfId="0" applyFont="1" applyFill="1" applyBorder="1" applyAlignment="1">
      <alignment horizontal="center" vertical="center"/>
    </xf>
    <xf numFmtId="0" fontId="11" fillId="30" borderId="14" xfId="0" applyFont="1" applyFill="1" applyBorder="1" applyAlignment="1">
      <alignment horizontal="center" vertical="center"/>
    </xf>
    <xf numFmtId="0" fontId="27" fillId="11" borderId="18" xfId="0" applyFont="1" applyFill="1" applyBorder="1" applyAlignment="1">
      <alignment horizontal="center" vertical="center"/>
    </xf>
    <xf numFmtId="0" fontId="27" fillId="11" borderId="15" xfId="0" applyFont="1" applyFill="1" applyBorder="1" applyAlignment="1">
      <alignment horizontal="center" vertical="center"/>
    </xf>
    <xf numFmtId="0" fontId="11" fillId="31" borderId="16" xfId="0" applyFont="1" applyFill="1" applyBorder="1" applyAlignment="1">
      <alignment horizontal="center" vertical="center"/>
    </xf>
    <xf numFmtId="0" fontId="11" fillId="31" borderId="14" xfId="0" applyFont="1" applyFill="1" applyBorder="1" applyAlignment="1">
      <alignment horizontal="center" vertical="center"/>
    </xf>
    <xf numFmtId="0" fontId="28" fillId="11" borderId="18" xfId="0" applyFont="1" applyFill="1" applyBorder="1" applyAlignment="1">
      <alignment horizontal="center" vertical="center"/>
    </xf>
    <xf numFmtId="0" fontId="28" fillId="11" borderId="15" xfId="0" applyFont="1" applyFill="1" applyBorder="1" applyAlignment="1">
      <alignment horizontal="center" vertical="center"/>
    </xf>
    <xf numFmtId="0" fontId="11" fillId="31" borderId="19" xfId="0" applyFont="1" applyFill="1" applyBorder="1" applyAlignment="1">
      <alignment horizontal="center" vertical="center"/>
    </xf>
    <xf numFmtId="0" fontId="28" fillId="11" borderId="20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/>
    </xf>
    <xf numFmtId="0" fontId="29" fillId="16" borderId="2" xfId="0" applyFont="1" applyFill="1" applyBorder="1" applyAlignment="1">
      <alignment horizontal="center" vertical="center"/>
    </xf>
    <xf numFmtId="0" fontId="29" fillId="16" borderId="2" xfId="0" applyFont="1" applyFill="1" applyBorder="1" applyAlignment="1">
      <alignment horizontal="left" vertical="center" indent="1"/>
    </xf>
    <xf numFmtId="168" fontId="29" fillId="16" borderId="2" xfId="0" applyNumberFormat="1" applyFont="1" applyFill="1" applyBorder="1" applyAlignment="1">
      <alignment horizontal="center" vertical="center"/>
    </xf>
    <xf numFmtId="2" fontId="29" fillId="16" borderId="2" xfId="0" applyNumberFormat="1" applyFont="1" applyFill="1" applyBorder="1" applyAlignment="1">
      <alignment horizontal="center" vertical="center"/>
    </xf>
    <xf numFmtId="0" fontId="29" fillId="16" borderId="2" xfId="0" applyNumberFormat="1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left" vertical="center" indent="1"/>
    </xf>
    <xf numFmtId="168" fontId="29" fillId="11" borderId="2" xfId="0" applyNumberFormat="1" applyFont="1" applyFill="1" applyBorder="1" applyAlignment="1">
      <alignment horizontal="center" vertical="center"/>
    </xf>
    <xf numFmtId="0" fontId="29" fillId="11" borderId="2" xfId="0" applyNumberFormat="1" applyFont="1" applyFill="1" applyBorder="1" applyAlignment="1">
      <alignment horizontal="center" vertical="center"/>
    </xf>
    <xf numFmtId="2" fontId="29" fillId="11" borderId="2" xfId="0" applyNumberFormat="1" applyFont="1" applyFill="1" applyBorder="1" applyAlignment="1">
      <alignment horizontal="center" vertical="center"/>
    </xf>
    <xf numFmtId="0" fontId="30" fillId="11" borderId="15" xfId="0" applyFont="1" applyFill="1" applyBorder="1" applyAlignment="1">
      <alignment horizontal="center" vertical="center" wrapText="1"/>
    </xf>
    <xf numFmtId="0" fontId="30" fillId="11" borderId="18" xfId="0" applyFont="1" applyFill="1" applyBorder="1" applyAlignment="1">
      <alignment horizontal="center" vertical="center" wrapText="1"/>
    </xf>
    <xf numFmtId="0" fontId="31" fillId="11" borderId="18" xfId="0" applyFont="1" applyFill="1" applyBorder="1" applyAlignment="1">
      <alignment horizontal="center" vertical="center" wrapText="1"/>
    </xf>
    <xf numFmtId="0" fontId="31" fillId="11" borderId="15" xfId="0" applyFont="1" applyFill="1" applyBorder="1" applyAlignment="1">
      <alignment horizontal="center" vertical="center" wrapText="1"/>
    </xf>
    <xf numFmtId="0" fontId="32" fillId="11" borderId="18" xfId="0" applyFont="1" applyFill="1" applyBorder="1" applyAlignment="1">
      <alignment horizontal="center" vertical="center" wrapText="1"/>
    </xf>
    <xf numFmtId="0" fontId="32" fillId="11" borderId="15" xfId="0" applyFont="1" applyFill="1" applyBorder="1" applyAlignment="1">
      <alignment horizontal="center" vertical="center" wrapText="1"/>
    </xf>
    <xf numFmtId="0" fontId="33" fillId="11" borderId="18" xfId="0" applyFont="1" applyFill="1" applyBorder="1" applyAlignment="1">
      <alignment horizontal="center" vertical="center" wrapText="1"/>
    </xf>
    <xf numFmtId="0" fontId="33" fillId="11" borderId="15" xfId="0" applyFont="1" applyFill="1" applyBorder="1" applyAlignment="1">
      <alignment horizontal="center" vertical="center" wrapText="1"/>
    </xf>
    <xf numFmtId="0" fontId="33" fillId="11" borderId="20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indent="1"/>
    </xf>
  </cellXfs>
  <cellStyles count="2">
    <cellStyle name="Hyperlink" xfId="1" builtinId="8"/>
    <cellStyle name="Normal" xfId="0" builtinId="0"/>
  </cellStyles>
  <dxfs count="64">
    <dxf>
      <font>
        <b/>
        <i val="0"/>
        <color rgb="FFFFFFFF"/>
      </font>
      <fill>
        <patternFill patternType="solid">
          <fgColor indexed="64"/>
          <bgColor rgb="FFCD7F32"/>
        </patternFill>
      </fill>
    </dxf>
    <dxf>
      <font>
        <b/>
        <i val="0"/>
      </font>
      <fill>
        <patternFill patternType="solid">
          <fgColor indexed="64"/>
          <bgColor rgb="FFC0C0C0"/>
        </patternFill>
      </fill>
    </dxf>
    <dxf>
      <font>
        <b/>
        <i val="0"/>
        <color rgb="FF7F6000"/>
      </font>
      <fill>
        <patternFill patternType="solid">
          <fgColor indexed="64"/>
          <bgColor rgb="FFFFD700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FE0"/>
        </patternFill>
      </fill>
    </dxf>
    <dxf>
      <fill>
        <patternFill patternType="solid">
          <fgColor indexed="64"/>
          <bgColor rgb="FFADD8E6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FFFFE0"/>
        </patternFill>
      </fill>
    </dxf>
    <dxf>
      <fill>
        <patternFill patternType="solid">
          <fgColor indexed="64"/>
          <bgColor rgb="FFADD8E6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FFFFE0"/>
        </patternFill>
      </fill>
    </dxf>
    <dxf>
      <fill>
        <patternFill patternType="solid">
          <fgColor indexed="64"/>
          <bgColor rgb="FFADD8E6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FFFFE0"/>
        </patternFill>
      </fill>
    </dxf>
    <dxf>
      <fill>
        <patternFill patternType="solid">
          <fgColor indexed="64"/>
          <bgColor rgb="FFADD8E6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1F4E78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1F4E78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1F4E78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1F4E78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5D4037"/>
      </font>
      <fill>
        <patternFill patternType="solid">
          <fgColor indexed="64"/>
          <bgColor rgb="FFFFF59D"/>
        </patternFill>
      </fill>
    </dxf>
    <dxf>
      <font>
        <b/>
        <i val="0"/>
        <color rgb="FFFFFFFF"/>
      </font>
      <fill>
        <patternFill patternType="solid">
          <fgColor indexed="64"/>
          <bgColor rgb="FF2196F3"/>
        </patternFill>
      </fill>
    </dxf>
    <dxf>
      <font>
        <b/>
        <i val="0"/>
        <color rgb="FFFFFFFF"/>
      </font>
      <fill>
        <patternFill patternType="solid">
          <fgColor indexed="64"/>
          <bgColor rgb="FF4CAF50"/>
        </patternFill>
      </fill>
    </dxf>
    <dxf>
      <font>
        <color rgb="FF5D4037"/>
      </font>
      <fill>
        <patternFill patternType="solid">
          <fgColor indexed="64"/>
          <bgColor rgb="FFFFF59D"/>
        </patternFill>
      </fill>
    </dxf>
    <dxf>
      <font>
        <b/>
        <i val="0"/>
        <color rgb="FFFFFFFF"/>
      </font>
      <fill>
        <patternFill patternType="solid">
          <fgColor indexed="64"/>
          <bgColor rgb="FF2196F3"/>
        </patternFill>
      </fill>
    </dxf>
    <dxf>
      <font>
        <b/>
        <i val="0"/>
        <color rgb="FFFFFFFF"/>
      </font>
      <fill>
        <patternFill patternType="solid">
          <fgColor indexed="64"/>
          <bgColor rgb="FF4CAF50"/>
        </patternFill>
      </fill>
    </dxf>
    <dxf>
      <font>
        <color rgb="FF5D4037"/>
      </font>
      <fill>
        <patternFill patternType="solid">
          <fgColor indexed="64"/>
          <bgColor rgb="FFFFF59D"/>
        </patternFill>
      </fill>
    </dxf>
    <dxf>
      <font>
        <b/>
        <i val="0"/>
        <color rgb="FFFFFFFF"/>
      </font>
      <fill>
        <patternFill patternType="solid">
          <fgColor indexed="64"/>
          <bgColor rgb="FF2196F3"/>
        </patternFill>
      </fill>
    </dxf>
    <dxf>
      <font>
        <b/>
        <i val="0"/>
        <color rgb="FFFFFFFF"/>
      </font>
      <fill>
        <patternFill patternType="solid">
          <fgColor indexed="64"/>
          <bgColor rgb="FF4CAF50"/>
        </patternFill>
      </fill>
    </dxf>
    <dxf>
      <font>
        <color rgb="FF5D4037"/>
      </font>
      <fill>
        <patternFill patternType="solid">
          <fgColor indexed="64"/>
          <bgColor rgb="FFFFF59D"/>
        </patternFill>
      </fill>
    </dxf>
    <dxf>
      <font>
        <b/>
        <i val="0"/>
        <color rgb="FFFFFFFF"/>
      </font>
      <fill>
        <patternFill patternType="solid">
          <fgColor indexed="64"/>
          <bgColor rgb="FF2196F3"/>
        </patternFill>
      </fill>
    </dxf>
    <dxf>
      <font>
        <b/>
        <i val="0"/>
        <color rgb="FFFFFFFF"/>
      </font>
      <fill>
        <patternFill patternType="solid">
          <fgColor indexed="64"/>
          <bgColor rgb="FF4CAF50"/>
        </patternFill>
      </fill>
    </dxf>
    <dxf>
      <font>
        <color rgb="FF5D4037"/>
      </font>
      <fill>
        <patternFill patternType="solid">
          <fgColor indexed="64"/>
          <bgColor rgb="FFFFF59D"/>
        </patternFill>
      </fill>
    </dxf>
    <dxf>
      <font>
        <b/>
        <i val="0"/>
        <color rgb="FFFFFFFF"/>
      </font>
      <fill>
        <patternFill patternType="solid">
          <fgColor indexed="64"/>
          <bgColor rgb="FF2196F3"/>
        </patternFill>
      </fill>
    </dxf>
    <dxf>
      <font>
        <b/>
        <i val="0"/>
        <color rgb="FFFFFFFF"/>
      </font>
      <fill>
        <patternFill patternType="solid">
          <fgColor indexed="64"/>
          <bgColor rgb="FF4CAF50"/>
        </patternFill>
      </fill>
    </dxf>
    <dxf>
      <font>
        <color rgb="FF5D4037"/>
      </font>
      <fill>
        <patternFill patternType="solid">
          <fgColor indexed="64"/>
          <bgColor rgb="FFFFF59D"/>
        </patternFill>
      </fill>
    </dxf>
    <dxf>
      <font>
        <b/>
        <i val="0"/>
        <color rgb="FFFFFFFF"/>
      </font>
      <fill>
        <patternFill patternType="solid">
          <fgColor indexed="64"/>
          <bgColor rgb="FF2196F3"/>
        </patternFill>
      </fill>
    </dxf>
    <dxf>
      <font>
        <b/>
        <i val="0"/>
        <color rgb="FFFFFFFF"/>
      </font>
      <fill>
        <patternFill patternType="solid">
          <fgColor indexed="64"/>
          <bgColor rgb="FF4CAF50"/>
        </patternFill>
      </fill>
    </dxf>
    <dxf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57575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sz val="11"/>
        <name val="Calibri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2BCC8-EBE5-4F7B-A164-DFCEAE6C6324}" name="DraftTable" displayName="DraftTable" ref="A1:G258" totalsRowShown="0">
  <autoFilter ref="A1:G258" xr:uid="{E222BCC8-EBE5-4F7B-A164-DFCEAE6C6324}"/>
  <tableColumns count="7">
    <tableColumn id="1" xr3:uid="{49866D5E-B666-45B7-93BC-28B7AEA1EE84}" name="pick" dataDxfId="63"/>
    <tableColumn id="2" xr3:uid="{D95F1014-6758-4363-99BD-6D82034F7B3B}" name="round" dataDxfId="62"/>
    <tableColumn id="3" xr3:uid="{FB33A968-AE48-491F-92B5-8EEA91481EBE}" name="team"/>
    <tableColumn id="4" xr3:uid="{F0B3F9E5-D076-44CF-A924-CFB09F30C58E}" name="player"/>
    <tableColumn id="5" xr3:uid="{591931AE-A8B7-42AB-9141-C6B008A61943}" name="position"/>
    <tableColumn id="6" xr3:uid="{E4292061-D6DC-4829-BB8E-5EA4089314B3}" name="college"/>
    <tableColumn id="7" xr3:uid="{2811A881-67DB-4FE0-A372-8D07DF1F4574}" name="rank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225016-934F-4475-BAA6-9E69FE6B59D4}" name="Round1Table" displayName="Round1Table" ref="A1:E33" totalsRowShown="0" headerRowDxfId="60" dataDxfId="59">
  <autoFilter ref="A1:E33" xr:uid="{62225016-934F-4475-BAA6-9E69FE6B59D4}"/>
  <tableColumns count="5">
    <tableColumn id="1" xr3:uid="{D989A3D0-C059-4AE4-99E5-DA8ED99C677C}" name="Round" dataDxfId="58"/>
    <tableColumn id="2" xr3:uid="{0ABC254F-AEDA-48EE-BB39-1D9B2ED7885F}" name="Pick" dataDxfId="57"/>
    <tableColumn id="3" xr3:uid="{2789CDF0-6B8C-40B6-8023-A75655D70ED1}" name="Team" dataDxfId="56" dataCellStyle="Hyperlink"/>
    <tableColumn id="4" xr3:uid="{6055A1BB-9727-452D-8202-13351DF544F0}" name="Player (College, Pos)" dataDxfId="54"/>
    <tableColumn id="5" xr3:uid="{A4EDDB07-2722-425D-A6D2-9DC56F2B579E}" name="Trade From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D0D0B1-A63E-4318-868A-B6657E5512D7}" name="ColinTradeTable" displayName="ColinTradeTable" ref="A1:H33" totalsRowShown="0">
  <autoFilter ref="A1:H33" xr:uid="{EAD0D0B1-A63E-4318-868A-B6657E5512D7}"/>
  <tableColumns count="8">
    <tableColumn id="1" xr3:uid="{B9F7AF44-0815-4AF3-B879-0801A5102EC9}" name="Pick" dataDxfId="33"/>
    <tableColumn id="2" xr3:uid="{60E8F94B-8751-41A0-BCB4-8B764AEC52F1}" name="Round" dataDxfId="32"/>
    <tableColumn id="3" xr3:uid="{39F3016E-D5BB-4B5A-B52B-C638B870ABA4}" name="Team" dataDxfId="31"/>
    <tableColumn id="4" xr3:uid="{697D9D19-3A2F-44E3-A66D-DDDD232AE1A9}" name="Player"/>
    <tableColumn id="5" xr3:uid="{63583D98-E467-4E1F-B5B9-389863BE533C}" name="Position" dataDxfId="30"/>
    <tableColumn id="6" xr3:uid="{5C6E9314-F123-4B6C-8DEB-BFD98495DCC3}" name="College"/>
    <tableColumn id="7" xr3:uid="{8542DCA1-DB20-46F7-93C3-B46EE0F14DF9}" name="Rank" dataDxfId="29"/>
    <tableColumn id="8" xr3:uid="{55040797-042B-4927-B3A8-76F2C287FD80}" name="Flags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xsports.com/nfl/los-angeles-rams-team" TargetMode="External"/><Relationship Id="rId18" Type="http://schemas.openxmlformats.org/officeDocument/2006/relationships/hyperlink" Target="https://www.foxsports.com/nfl/minnesota-vikings-team" TargetMode="External"/><Relationship Id="rId26" Type="http://schemas.openxmlformats.org/officeDocument/2006/relationships/hyperlink" Target="https://www.foxsports.com/nfl/houston-texans-team" TargetMode="External"/><Relationship Id="rId3" Type="http://schemas.openxmlformats.org/officeDocument/2006/relationships/hyperlink" Target="https://www.foxsports.com/nfl/arizona-cardinals-team" TargetMode="External"/><Relationship Id="rId21" Type="http://schemas.openxmlformats.org/officeDocument/2006/relationships/hyperlink" Target="https://www.foxsports.com/nfl/pittsburgh-steelers-team" TargetMode="External"/><Relationship Id="rId7" Type="http://schemas.openxmlformats.org/officeDocument/2006/relationships/hyperlink" Target="https://www.foxsports.com/nfl/washington-commanders-team" TargetMode="External"/><Relationship Id="rId12" Type="http://schemas.openxmlformats.org/officeDocument/2006/relationships/hyperlink" Target="https://www.foxsports.com/nfl/miami-dolphins-team" TargetMode="External"/><Relationship Id="rId17" Type="http://schemas.openxmlformats.org/officeDocument/2006/relationships/hyperlink" Target="https://www.foxsports.com/nfl/detroit-lions-team" TargetMode="External"/><Relationship Id="rId25" Type="http://schemas.openxmlformats.org/officeDocument/2006/relationships/hyperlink" Target="https://www.foxsports.com/nfl/chicago-bears-team" TargetMode="External"/><Relationship Id="rId33" Type="http://schemas.openxmlformats.org/officeDocument/2006/relationships/table" Target="../tables/table2.xml"/><Relationship Id="rId2" Type="http://schemas.openxmlformats.org/officeDocument/2006/relationships/hyperlink" Target="https://www.foxsports.com/nfl/new-york-jets-team" TargetMode="External"/><Relationship Id="rId16" Type="http://schemas.openxmlformats.org/officeDocument/2006/relationships/hyperlink" Target="https://www.foxsports.com/nfl/new-york-jets-team" TargetMode="External"/><Relationship Id="rId20" Type="http://schemas.openxmlformats.org/officeDocument/2006/relationships/hyperlink" Target="https://www.foxsports.com/nfl/philadelphia-eagles-team" TargetMode="External"/><Relationship Id="rId29" Type="http://schemas.openxmlformats.org/officeDocument/2006/relationships/hyperlink" Target="https://www.foxsports.com/nfl/kansas-city-chiefs-team" TargetMode="External"/><Relationship Id="rId1" Type="http://schemas.openxmlformats.org/officeDocument/2006/relationships/hyperlink" Target="https://www.foxsports.com/nfl/las-vegas-raiders-team" TargetMode="External"/><Relationship Id="rId6" Type="http://schemas.openxmlformats.org/officeDocument/2006/relationships/hyperlink" Target="https://www.foxsports.com/nfl/kansas-city-chiefs-team" TargetMode="External"/><Relationship Id="rId11" Type="http://schemas.openxmlformats.org/officeDocument/2006/relationships/hyperlink" Target="https://www.foxsports.com/nfl/dallas-cowboys-team" TargetMode="External"/><Relationship Id="rId24" Type="http://schemas.openxmlformats.org/officeDocument/2006/relationships/hyperlink" Target="https://www.foxsports.com/nfl/cleveland-browns-team" TargetMode="External"/><Relationship Id="rId32" Type="http://schemas.openxmlformats.org/officeDocument/2006/relationships/hyperlink" Target="https://www.foxsports.com/nfl/seattle-seahawks-team" TargetMode="External"/><Relationship Id="rId5" Type="http://schemas.openxmlformats.org/officeDocument/2006/relationships/hyperlink" Target="https://www.foxsports.com/nfl/new-york-giants-team" TargetMode="External"/><Relationship Id="rId15" Type="http://schemas.openxmlformats.org/officeDocument/2006/relationships/hyperlink" Target="https://www.foxsports.com/nfl/tampa-bay-buccaneers-team" TargetMode="External"/><Relationship Id="rId23" Type="http://schemas.openxmlformats.org/officeDocument/2006/relationships/hyperlink" Target="https://www.foxsports.com/nfl/dallas-cowboys-team" TargetMode="External"/><Relationship Id="rId28" Type="http://schemas.openxmlformats.org/officeDocument/2006/relationships/hyperlink" Target="https://www.foxsports.com/nfl/new-england-patriots-team" TargetMode="External"/><Relationship Id="rId10" Type="http://schemas.openxmlformats.org/officeDocument/2006/relationships/hyperlink" Target="https://www.foxsports.com/nfl/new-york-giants-team" TargetMode="External"/><Relationship Id="rId19" Type="http://schemas.openxmlformats.org/officeDocument/2006/relationships/hyperlink" Target="https://www.foxsports.com/nfl/carolina-panthers-team" TargetMode="External"/><Relationship Id="rId31" Type="http://schemas.openxmlformats.org/officeDocument/2006/relationships/hyperlink" Target="https://www.foxsports.com/nfl/tennessee-titans-team" TargetMode="External"/><Relationship Id="rId4" Type="http://schemas.openxmlformats.org/officeDocument/2006/relationships/hyperlink" Target="https://www.foxsports.com/nfl/tennessee-titans-team" TargetMode="External"/><Relationship Id="rId9" Type="http://schemas.openxmlformats.org/officeDocument/2006/relationships/hyperlink" Target="https://www.foxsports.com/nfl/cleveland-browns-team" TargetMode="External"/><Relationship Id="rId14" Type="http://schemas.openxmlformats.org/officeDocument/2006/relationships/hyperlink" Target="https://www.foxsports.com/nfl/baltimore-ravens-team" TargetMode="External"/><Relationship Id="rId22" Type="http://schemas.openxmlformats.org/officeDocument/2006/relationships/hyperlink" Target="https://www.foxsports.com/nfl/los-angeles-chargers-team" TargetMode="External"/><Relationship Id="rId27" Type="http://schemas.openxmlformats.org/officeDocument/2006/relationships/hyperlink" Target="https://www.foxsports.com/nfl/miami-dolphins-team" TargetMode="External"/><Relationship Id="rId30" Type="http://schemas.openxmlformats.org/officeDocument/2006/relationships/hyperlink" Target="https://www.foxsports.com/nfl/new-york-jets-team" TargetMode="External"/><Relationship Id="rId8" Type="http://schemas.openxmlformats.org/officeDocument/2006/relationships/hyperlink" Target="https://www.foxsports.com/nfl/new-orleans-saints-tea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0A98-0B4A-4BC5-926D-D64B5D2EB298}">
  <sheetPr>
    <tabColor rgb="FF1F3864"/>
  </sheetPr>
  <dimension ref="B1:N56"/>
  <sheetViews>
    <sheetView tabSelected="1" topLeftCell="B17" workbookViewId="0">
      <selection activeCell="L9" sqref="L9"/>
    </sheetView>
  </sheetViews>
  <sheetFormatPr defaultRowHeight="14.5"/>
  <cols>
    <col min="1" max="1" width="3.6328125" customWidth="1"/>
    <col min="2" max="12" width="21.81640625" customWidth="1"/>
    <col min="13" max="13" width="3.6328125" customWidth="1"/>
    <col min="14" max="14" width="21.81640625" customWidth="1"/>
  </cols>
  <sheetData>
    <row r="1" spans="2:12" ht="15" customHeight="1"/>
    <row r="2" spans="2:12">
      <c r="B2" s="85" t="s">
        <v>814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12" ht="30" customHeight="1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2:12"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</row>
    <row r="5" spans="2:12" ht="25" customHeight="1">
      <c r="B5" s="86" t="s">
        <v>815</v>
      </c>
      <c r="C5" s="86"/>
      <c r="D5" s="86"/>
      <c r="E5" s="86"/>
      <c r="F5" s="86"/>
      <c r="G5" s="86"/>
      <c r="H5" s="86"/>
      <c r="I5" s="86"/>
      <c r="J5" s="86"/>
      <c r="K5" s="86"/>
      <c r="L5" s="86"/>
    </row>
    <row r="6" spans="2:12" ht="15" customHeight="1"/>
    <row r="7" spans="2:12" ht="28" customHeight="1" thickBot="1">
      <c r="B7" s="87" t="s">
        <v>816</v>
      </c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2:12" ht="20" customHeight="1">
      <c r="B8" s="91" t="s">
        <v>817</v>
      </c>
      <c r="C8" s="89"/>
      <c r="D8" s="96" t="s">
        <v>819</v>
      </c>
      <c r="E8" s="97"/>
      <c r="F8" s="100" t="s">
        <v>821</v>
      </c>
      <c r="G8" s="101"/>
      <c r="H8" s="104" t="s">
        <v>823</v>
      </c>
      <c r="I8" s="105"/>
      <c r="J8" s="109" t="s">
        <v>825</v>
      </c>
      <c r="K8" s="110"/>
      <c r="L8" s="111" t="s">
        <v>827</v>
      </c>
    </row>
    <row r="9" spans="2:12" ht="40" customHeight="1">
      <c r="B9" s="92">
        <f>'Accuracy Analysis'!B38</f>
        <v>5</v>
      </c>
      <c r="C9" s="88"/>
      <c r="D9" s="94">
        <f>'Accuracy Analysis'!D38</f>
        <v>8</v>
      </c>
      <c r="E9" s="95"/>
      <c r="F9" s="98">
        <f>'Accuracy Analysis'!F38</f>
        <v>27</v>
      </c>
      <c r="G9" s="99"/>
      <c r="H9" s="102">
        <f>'Accuracy Analysis'!H38</f>
        <v>5</v>
      </c>
      <c r="I9" s="103"/>
      <c r="J9" s="107">
        <f>'Accuracy Analysis'!I38</f>
        <v>20</v>
      </c>
      <c r="K9" s="108"/>
      <c r="L9" s="112">
        <f>'Accuracy Analysis'!K38</f>
        <v>3.2222222222222223</v>
      </c>
    </row>
    <row r="10" spans="2:12" ht="22" customHeight="1" thickBot="1">
      <c r="B10" s="93" t="s">
        <v>818</v>
      </c>
      <c r="C10" s="90"/>
      <c r="D10" s="93" t="s">
        <v>820</v>
      </c>
      <c r="E10" s="90"/>
      <c r="F10" s="93" t="s">
        <v>822</v>
      </c>
      <c r="G10" s="90"/>
      <c r="H10" s="93" t="s">
        <v>824</v>
      </c>
      <c r="I10" s="90"/>
      <c r="J10" s="93" t="s">
        <v>826</v>
      </c>
      <c r="K10" s="90"/>
      <c r="L10" s="113" t="s">
        <v>828</v>
      </c>
    </row>
    <row r="11" spans="2:12" ht="15" customHeight="1"/>
    <row r="12" spans="2:12" ht="28" customHeight="1" thickBot="1">
      <c r="B12" s="87" t="s">
        <v>829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</row>
    <row r="13" spans="2:12" ht="22" customHeight="1">
      <c r="B13" s="116" t="s">
        <v>830</v>
      </c>
      <c r="C13" s="114"/>
      <c r="D13" s="114"/>
      <c r="E13" s="114"/>
      <c r="F13" s="118" t="s">
        <v>831</v>
      </c>
      <c r="G13" s="119"/>
      <c r="H13" s="119"/>
      <c r="I13" s="122" t="s">
        <v>832</v>
      </c>
      <c r="J13" s="123"/>
      <c r="K13" s="123"/>
      <c r="L13" s="126"/>
    </row>
    <row r="14" spans="2:12" ht="40" customHeight="1" thickBot="1">
      <c r="B14" s="117" t="str">
        <f>"T-" &amp; (RANK('Accuracy Analysis'!B38,'Accuracy Analysis'!B38:B70,0)) &amp; " of 31"</f>
        <v>T-13 of 31</v>
      </c>
      <c r="C14" s="115"/>
      <c r="D14" s="115"/>
      <c r="E14" s="115"/>
      <c r="F14" s="120" t="str">
        <f>TEXT('Accuracy Analysis'!G38,"0.0%")</f>
        <v>84.4%</v>
      </c>
      <c r="G14" s="121"/>
      <c r="H14" s="121"/>
      <c r="I14" s="124" t="str">
        <f>COUNTIF('Accuracy Analysis'!B39:B70,"&lt;"&amp;'Accuracy Analysis'!B38) &amp; " of 30"</f>
        <v>14 of 30</v>
      </c>
      <c r="J14" s="125"/>
      <c r="K14" s="125"/>
      <c r="L14" s="127"/>
    </row>
    <row r="15" spans="2:12" ht="15" customHeight="1"/>
    <row r="16" spans="2:12" ht="28" customHeight="1">
      <c r="B16" s="87" t="s">
        <v>833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</row>
    <row r="17" spans="2:14" ht="30" customHeight="1">
      <c r="B17" s="128" t="s">
        <v>687</v>
      </c>
      <c r="C17" s="128" t="s">
        <v>555</v>
      </c>
      <c r="D17" s="128" t="s">
        <v>834</v>
      </c>
      <c r="E17" s="128" t="s">
        <v>563</v>
      </c>
      <c r="F17" s="128" t="s">
        <v>835</v>
      </c>
      <c r="G17" s="128" t="s">
        <v>565</v>
      </c>
      <c r="H17" s="128" t="s">
        <v>836</v>
      </c>
      <c r="I17" s="128" t="s">
        <v>567</v>
      </c>
      <c r="J17" s="128" t="s">
        <v>837</v>
      </c>
      <c r="K17" s="128" t="s">
        <v>838</v>
      </c>
      <c r="L17" s="128" t="s">
        <v>841</v>
      </c>
      <c r="M17" s="128" t="s">
        <v>839</v>
      </c>
      <c r="N17" s="128" t="s">
        <v>840</v>
      </c>
    </row>
    <row r="18" spans="2:14" ht="22" customHeight="1">
      <c r="B18" s="134">
        <f>RANK(D18,D$18:D$50,0)</f>
        <v>1</v>
      </c>
      <c r="C18" s="135" t="str" cm="1">
        <f t="array" ref="C18:N50">_xlfn.SORTBY(_xlfn._xlws.FILTER('Accuracy Analysis'!A38:L70,'Accuracy Analysis'!A38:A70&lt;&gt;""),_xlfn._xlws.FILTER('Accuracy Analysis'!B38:B70,'Accuracy Analysis'!A38:A70&lt;&gt;""),-1,_xlfn._xlws.FILTER('Accuracy Analysis'!D38:D70,'Accuracy Analysis'!A38:A70&lt;&gt;""),-1)</f>
        <v>Lance Zierlein (NFL)</v>
      </c>
      <c r="D18" s="134">
        <v>8</v>
      </c>
      <c r="E18" s="136">
        <v>0.25</v>
      </c>
      <c r="F18" s="134">
        <v>9</v>
      </c>
      <c r="G18" s="136">
        <v>0.9</v>
      </c>
      <c r="H18" s="134">
        <v>28</v>
      </c>
      <c r="I18" s="136">
        <v>0.875</v>
      </c>
      <c r="J18" s="134">
        <v>8</v>
      </c>
      <c r="K18" s="134">
        <v>22</v>
      </c>
      <c r="L18" s="137">
        <v>3</v>
      </c>
      <c r="M18" s="138">
        <v>3.0714285714285716</v>
      </c>
      <c r="N18" s="134">
        <v>0</v>
      </c>
    </row>
    <row r="19" spans="2:14" ht="22" customHeight="1">
      <c r="B19" s="129">
        <f>RANK(D19,D$18:D$50,0)</f>
        <v>2</v>
      </c>
      <c r="C19" s="130" t="str">
        <v>Dan Parr (NFL)</v>
      </c>
      <c r="D19" s="129">
        <v>7</v>
      </c>
      <c r="E19" s="131">
        <v>0.21875</v>
      </c>
      <c r="F19" s="129">
        <v>9</v>
      </c>
      <c r="G19" s="131">
        <v>0.9</v>
      </c>
      <c r="H19" s="129">
        <v>28</v>
      </c>
      <c r="I19" s="131">
        <v>0.875</v>
      </c>
      <c r="J19" s="129">
        <v>7</v>
      </c>
      <c r="K19" s="129">
        <v>24</v>
      </c>
      <c r="L19" s="133">
        <v>4</v>
      </c>
      <c r="M19" s="132">
        <v>3</v>
      </c>
      <c r="N19" s="129">
        <v>2</v>
      </c>
    </row>
    <row r="20" spans="2:14" ht="22" customHeight="1">
      <c r="B20" s="134">
        <f>RANK(D20,D$18:D$50,0)</f>
        <v>2</v>
      </c>
      <c r="C20" s="135" t="str">
        <v>Todd McShay (Ringer)</v>
      </c>
      <c r="D20" s="134">
        <v>7</v>
      </c>
      <c r="E20" s="136">
        <v>0.21875</v>
      </c>
      <c r="F20" s="134">
        <v>8</v>
      </c>
      <c r="G20" s="136">
        <v>0.8</v>
      </c>
      <c r="H20" s="134">
        <v>28</v>
      </c>
      <c r="I20" s="136">
        <v>0.875</v>
      </c>
      <c r="J20" s="134">
        <v>7</v>
      </c>
      <c r="K20" s="134">
        <v>20</v>
      </c>
      <c r="L20" s="137">
        <v>4</v>
      </c>
      <c r="M20" s="138">
        <v>3.3571428571428572</v>
      </c>
      <c r="N20" s="134">
        <v>3</v>
      </c>
    </row>
    <row r="21" spans="2:14" ht="22" customHeight="1">
      <c r="B21" s="129">
        <f>RANK(D21,D$18:D$50,0)</f>
        <v>2</v>
      </c>
      <c r="C21" s="130" t="str">
        <v>Walt Cherepinsky (WalterFootball)</v>
      </c>
      <c r="D21" s="129">
        <v>7</v>
      </c>
      <c r="E21" s="131">
        <v>0.21875</v>
      </c>
      <c r="F21" s="129">
        <v>8</v>
      </c>
      <c r="G21" s="131">
        <v>0.8</v>
      </c>
      <c r="H21" s="129">
        <v>24</v>
      </c>
      <c r="I21" s="131">
        <v>0.75</v>
      </c>
      <c r="J21" s="129">
        <v>7</v>
      </c>
      <c r="K21" s="129">
        <v>18</v>
      </c>
      <c r="L21" s="133">
        <v>4</v>
      </c>
      <c r="M21" s="132">
        <v>4.8620689655172411</v>
      </c>
      <c r="N21" s="129">
        <v>0</v>
      </c>
    </row>
    <row r="22" spans="2:14" ht="22" customHeight="1">
      <c r="B22" s="134">
        <f>RANK(D22,D$18:D$50,0)</f>
        <v>2</v>
      </c>
      <c r="C22" s="135" t="str">
        <v>Tony Pauline (ES 4/22)</v>
      </c>
      <c r="D22" s="134">
        <v>7</v>
      </c>
      <c r="E22" s="136">
        <v>0.21875</v>
      </c>
      <c r="F22" s="134">
        <v>8</v>
      </c>
      <c r="G22" s="136">
        <v>0.8</v>
      </c>
      <c r="H22" s="134">
        <v>24</v>
      </c>
      <c r="I22" s="136">
        <v>0.75</v>
      </c>
      <c r="J22" s="134">
        <v>7</v>
      </c>
      <c r="K22" s="134">
        <v>18</v>
      </c>
      <c r="L22" s="137">
        <v>4</v>
      </c>
      <c r="M22" s="138">
        <v>3.125</v>
      </c>
      <c r="N22" s="134">
        <v>1</v>
      </c>
    </row>
    <row r="23" spans="2:14" ht="22" customHeight="1">
      <c r="B23" s="129">
        <f>RANK(D23,D$18:D$50,0)</f>
        <v>2</v>
      </c>
      <c r="C23" s="130" t="str">
        <v>Field Yates</v>
      </c>
      <c r="D23" s="129">
        <v>7</v>
      </c>
      <c r="E23" s="131">
        <v>0.21875</v>
      </c>
      <c r="F23" s="129">
        <v>7</v>
      </c>
      <c r="G23" s="131">
        <v>0.7</v>
      </c>
      <c r="H23" s="129">
        <v>27</v>
      </c>
      <c r="I23" s="131">
        <v>0.84375</v>
      </c>
      <c r="J23" s="129">
        <v>7</v>
      </c>
      <c r="K23" s="129">
        <v>21</v>
      </c>
      <c r="L23" s="133">
        <v>4</v>
      </c>
      <c r="M23" s="132">
        <v>3.6296296296296298</v>
      </c>
      <c r="N23" s="129">
        <v>1</v>
      </c>
    </row>
    <row r="24" spans="2:14" ht="22" customHeight="1">
      <c r="B24" s="134">
        <f>RANK(D24,D$18:D$50,0)</f>
        <v>7</v>
      </c>
      <c r="C24" s="135" t="str">
        <v>Rob Rang (Fox)</v>
      </c>
      <c r="D24" s="134">
        <v>6</v>
      </c>
      <c r="E24" s="136">
        <v>0.1875</v>
      </c>
      <c r="F24" s="134">
        <v>9</v>
      </c>
      <c r="G24" s="136">
        <v>0.9</v>
      </c>
      <c r="H24" s="134">
        <v>27</v>
      </c>
      <c r="I24" s="136">
        <v>0.84375</v>
      </c>
      <c r="J24" s="134">
        <v>6</v>
      </c>
      <c r="K24" s="134">
        <v>19</v>
      </c>
      <c r="L24" s="137">
        <v>4</v>
      </c>
      <c r="M24" s="138">
        <v>3.8888888888888888</v>
      </c>
      <c r="N24" s="134">
        <v>0</v>
      </c>
    </row>
    <row r="25" spans="2:14" ht="22" customHeight="1">
      <c r="B25" s="129">
        <f>RANK(D25,D$18:D$50,0)</f>
        <v>7</v>
      </c>
      <c r="C25" s="130" t="str">
        <v>Chad Reuter (NFL.com)</v>
      </c>
      <c r="D25" s="129">
        <v>6</v>
      </c>
      <c r="E25" s="131">
        <v>0.1875</v>
      </c>
      <c r="F25" s="129">
        <v>9</v>
      </c>
      <c r="G25" s="131">
        <v>0.9</v>
      </c>
      <c r="H25" s="129">
        <v>27</v>
      </c>
      <c r="I25" s="131">
        <v>0.84375</v>
      </c>
      <c r="J25" s="129">
        <v>6</v>
      </c>
      <c r="K25" s="129">
        <v>18</v>
      </c>
      <c r="L25" s="133">
        <v>4</v>
      </c>
      <c r="M25" s="132">
        <v>4.6296296296296298</v>
      </c>
      <c r="N25" s="129">
        <v>0</v>
      </c>
    </row>
    <row r="26" spans="2:14" ht="22" customHeight="1">
      <c r="B26" s="134">
        <f>RANK(D26,D$18:D$50,0)</f>
        <v>7</v>
      </c>
      <c r="C26" s="135" t="str">
        <v>Josh Edwards (CBS)</v>
      </c>
      <c r="D26" s="134">
        <v>6</v>
      </c>
      <c r="E26" s="136">
        <v>0.1875</v>
      </c>
      <c r="F26" s="134">
        <v>9</v>
      </c>
      <c r="G26" s="136">
        <v>0.9</v>
      </c>
      <c r="H26" s="134">
        <v>27</v>
      </c>
      <c r="I26" s="136">
        <v>0.84375</v>
      </c>
      <c r="J26" s="134">
        <v>6</v>
      </c>
      <c r="K26" s="134">
        <v>18</v>
      </c>
      <c r="L26" s="137">
        <v>4</v>
      </c>
      <c r="M26" s="138">
        <v>4.3703703703703702</v>
      </c>
      <c r="N26" s="134">
        <v>2</v>
      </c>
    </row>
    <row r="27" spans="2:14" ht="22" customHeight="1">
      <c r="B27" s="129">
        <f>RANK(D27,D$18:D$50,0)</f>
        <v>7</v>
      </c>
      <c r="C27" s="130" t="str">
        <v>Ryan Wilson (CBS)</v>
      </c>
      <c r="D27" s="129">
        <v>6</v>
      </c>
      <c r="E27" s="131">
        <v>0.1875</v>
      </c>
      <c r="F27" s="129">
        <v>8</v>
      </c>
      <c r="G27" s="131">
        <v>0.8</v>
      </c>
      <c r="H27" s="129">
        <v>28</v>
      </c>
      <c r="I27" s="131">
        <v>0.875</v>
      </c>
      <c r="J27" s="129">
        <v>7</v>
      </c>
      <c r="K27" s="129">
        <v>18</v>
      </c>
      <c r="L27" s="133">
        <v>4</v>
      </c>
      <c r="M27" s="132">
        <v>4.5357142857142856</v>
      </c>
      <c r="N27" s="129">
        <v>0</v>
      </c>
    </row>
    <row r="28" spans="2:14" ht="22" customHeight="1">
      <c r="B28" s="134">
        <f>RANK(D28,D$18:D$50,0)</f>
        <v>7</v>
      </c>
      <c r="C28" s="135" t="str">
        <v>Jason Boris (Times News)</v>
      </c>
      <c r="D28" s="134">
        <v>6</v>
      </c>
      <c r="E28" s="136">
        <v>0.1875</v>
      </c>
      <c r="F28" s="134">
        <v>7</v>
      </c>
      <c r="G28" s="136">
        <v>0.7</v>
      </c>
      <c r="H28" s="134">
        <v>29</v>
      </c>
      <c r="I28" s="136">
        <v>0.90625</v>
      </c>
      <c r="J28" s="134">
        <v>6</v>
      </c>
      <c r="K28" s="134">
        <v>17</v>
      </c>
      <c r="L28" s="137">
        <v>4</v>
      </c>
      <c r="M28" s="138">
        <v>4.7407407407407405</v>
      </c>
      <c r="N28" s="134">
        <v>0</v>
      </c>
    </row>
    <row r="29" spans="2:14" ht="22" customHeight="1">
      <c r="B29" s="129">
        <f>RANK(D29,D$18:D$50,0)</f>
        <v>7</v>
      </c>
      <c r="C29" s="130" t="str">
        <v>Ryan McCrystal (Sharp)</v>
      </c>
      <c r="D29" s="129">
        <v>6</v>
      </c>
      <c r="E29" s="131">
        <v>0.1875</v>
      </c>
      <c r="F29" s="129">
        <v>7</v>
      </c>
      <c r="G29" s="131">
        <v>0.7</v>
      </c>
      <c r="H29" s="129">
        <v>29</v>
      </c>
      <c r="I29" s="131">
        <v>0.90625</v>
      </c>
      <c r="J29" s="129">
        <v>6</v>
      </c>
      <c r="K29" s="129">
        <v>16</v>
      </c>
      <c r="L29" s="133">
        <v>3</v>
      </c>
      <c r="M29" s="132">
        <v>4.7586206896551726</v>
      </c>
      <c r="N29" s="129">
        <v>0</v>
      </c>
    </row>
    <row r="30" spans="2:14" ht="22" customHeight="1">
      <c r="B30" s="134">
        <f>RANK(D30,D$18:D$50,0)</f>
        <v>13</v>
      </c>
      <c r="C30" s="135" t="str">
        <v>Peter Schrager</v>
      </c>
      <c r="D30" s="134">
        <v>5</v>
      </c>
      <c r="E30" s="136">
        <v>0.15625</v>
      </c>
      <c r="F30" s="134">
        <v>9</v>
      </c>
      <c r="G30" s="136">
        <v>0.9</v>
      </c>
      <c r="H30" s="134">
        <v>28</v>
      </c>
      <c r="I30" s="136">
        <v>0.875</v>
      </c>
      <c r="J30" s="134">
        <v>5</v>
      </c>
      <c r="K30" s="134">
        <v>22</v>
      </c>
      <c r="L30" s="137">
        <v>4</v>
      </c>
      <c r="M30" s="138">
        <v>3.5357142857142856</v>
      </c>
      <c r="N30" s="134">
        <v>0</v>
      </c>
    </row>
    <row r="31" spans="2:14" ht="22" customHeight="1">
      <c r="B31" s="129">
        <f>RANK(D31,D$18:D$50,0)</f>
        <v>13</v>
      </c>
      <c r="C31" s="130" t="str">
        <v>Colin's Mock</v>
      </c>
      <c r="D31" s="129">
        <v>5</v>
      </c>
      <c r="E31" s="131">
        <v>0.15625</v>
      </c>
      <c r="F31" s="129">
        <v>8</v>
      </c>
      <c r="G31" s="131">
        <v>0.8</v>
      </c>
      <c r="H31" s="129">
        <v>27</v>
      </c>
      <c r="I31" s="131">
        <v>0.84375</v>
      </c>
      <c r="J31" s="129">
        <v>5</v>
      </c>
      <c r="K31" s="129">
        <v>20</v>
      </c>
      <c r="L31" s="133">
        <v>4</v>
      </c>
      <c r="M31" s="132">
        <v>3.2222222222222223</v>
      </c>
      <c r="N31" s="129">
        <v>0</v>
      </c>
    </row>
    <row r="32" spans="2:14" ht="22" customHeight="1">
      <c r="B32" s="134">
        <f>RANK(D32,D$18:D$50,0)</f>
        <v>13</v>
      </c>
      <c r="C32" s="135" t="str">
        <v>Mel Kiper Jr.</v>
      </c>
      <c r="D32" s="134">
        <v>5</v>
      </c>
      <c r="E32" s="136">
        <v>0.15625</v>
      </c>
      <c r="F32" s="134">
        <v>8</v>
      </c>
      <c r="G32" s="136">
        <v>0.8</v>
      </c>
      <c r="H32" s="134">
        <v>26</v>
      </c>
      <c r="I32" s="136">
        <v>0.8125</v>
      </c>
      <c r="J32" s="134">
        <v>6</v>
      </c>
      <c r="K32" s="134">
        <v>15</v>
      </c>
      <c r="L32" s="137">
        <v>4</v>
      </c>
      <c r="M32" s="138">
        <v>4.5769230769230766</v>
      </c>
      <c r="N32" s="134">
        <v>1</v>
      </c>
    </row>
    <row r="33" spans="2:14" ht="22" customHeight="1">
      <c r="B33" s="129">
        <f>RANK(D33,D$18:D$50,0)</f>
        <v>13</v>
      </c>
      <c r="C33" s="130" t="str">
        <v>Colin's Mock w/Trade</v>
      </c>
      <c r="D33" s="129">
        <v>5</v>
      </c>
      <c r="E33" s="131">
        <v>0.15625</v>
      </c>
      <c r="F33" s="129">
        <v>8</v>
      </c>
      <c r="G33" s="131">
        <v>0.8</v>
      </c>
      <c r="H33" s="129">
        <v>27</v>
      </c>
      <c r="I33" s="131">
        <v>0.84375</v>
      </c>
      <c r="J33" s="129">
        <v>5</v>
      </c>
      <c r="K33" s="129">
        <v>20</v>
      </c>
      <c r="L33" s="133">
        <v>4</v>
      </c>
      <c r="M33" s="132">
        <v>3.2222222222222223</v>
      </c>
      <c r="N33" s="129">
        <v>0</v>
      </c>
    </row>
    <row r="34" spans="2:14" ht="22" customHeight="1">
      <c r="B34" s="134">
        <f>RANK(D34,D$18:D$50,0)</f>
        <v>13</v>
      </c>
      <c r="C34" s="135" t="str">
        <v>Lou Pickney (DKDB)</v>
      </c>
      <c r="D34" s="134">
        <v>5</v>
      </c>
      <c r="E34" s="136">
        <v>0.15625</v>
      </c>
      <c r="F34" s="134">
        <v>8</v>
      </c>
      <c r="G34" s="136">
        <v>0.8</v>
      </c>
      <c r="H34" s="134">
        <v>25</v>
      </c>
      <c r="I34" s="136">
        <v>0.78125</v>
      </c>
      <c r="J34" s="134">
        <v>5</v>
      </c>
      <c r="K34" s="134">
        <v>17</v>
      </c>
      <c r="L34" s="137">
        <v>3</v>
      </c>
      <c r="M34" s="138">
        <v>4.88</v>
      </c>
      <c r="N34" s="134">
        <v>2</v>
      </c>
    </row>
    <row r="35" spans="2:14" ht="22" customHeight="1">
      <c r="B35" s="129">
        <f>RANK(D35,D$18:D$50,0)</f>
        <v>13</v>
      </c>
      <c r="C35" s="130" t="str">
        <v>Luke Easterling (Athlon)</v>
      </c>
      <c r="D35" s="129">
        <v>5</v>
      </c>
      <c r="E35" s="131">
        <v>0.15625</v>
      </c>
      <c r="F35" s="129">
        <v>8</v>
      </c>
      <c r="G35" s="131">
        <v>0.8</v>
      </c>
      <c r="H35" s="129">
        <v>30</v>
      </c>
      <c r="I35" s="131">
        <v>0.9375</v>
      </c>
      <c r="J35" s="129">
        <v>7</v>
      </c>
      <c r="K35" s="129">
        <v>23</v>
      </c>
      <c r="L35" s="133">
        <v>3</v>
      </c>
      <c r="M35" s="132">
        <v>3.9</v>
      </c>
      <c r="N35" s="129">
        <v>0</v>
      </c>
    </row>
    <row r="36" spans="2:14" ht="22" customHeight="1">
      <c r="B36" s="134">
        <f>RANK(D36,D$18:D$50,0)</f>
        <v>13</v>
      </c>
      <c r="C36" s="135" t="str">
        <v>Pete Prisco (CBS)</v>
      </c>
      <c r="D36" s="134">
        <v>5</v>
      </c>
      <c r="E36" s="136">
        <v>0.15625</v>
      </c>
      <c r="F36" s="134">
        <v>7</v>
      </c>
      <c r="G36" s="136">
        <v>0.7</v>
      </c>
      <c r="H36" s="134">
        <v>27</v>
      </c>
      <c r="I36" s="136">
        <v>0.84375</v>
      </c>
      <c r="J36" s="134">
        <v>6</v>
      </c>
      <c r="K36" s="134">
        <v>16</v>
      </c>
      <c r="L36" s="137">
        <v>4</v>
      </c>
      <c r="M36" s="138">
        <v>4.1481481481481479</v>
      </c>
      <c r="N36" s="134">
        <v>0</v>
      </c>
    </row>
    <row r="37" spans="2:14" ht="22" customHeight="1">
      <c r="B37" s="129">
        <f>RANK(D37,D$18:D$50,0)</f>
        <v>20</v>
      </c>
      <c r="C37" s="130" t="str">
        <v>Matt Miller</v>
      </c>
      <c r="D37" s="129">
        <v>4</v>
      </c>
      <c r="E37" s="131">
        <v>0.125</v>
      </c>
      <c r="F37" s="129">
        <v>8</v>
      </c>
      <c r="G37" s="131">
        <v>0.8</v>
      </c>
      <c r="H37" s="129">
        <v>28</v>
      </c>
      <c r="I37" s="131">
        <v>0.875</v>
      </c>
      <c r="J37" s="129">
        <v>5</v>
      </c>
      <c r="K37" s="129">
        <v>17</v>
      </c>
      <c r="L37" s="133">
        <v>4</v>
      </c>
      <c r="M37" s="132">
        <v>4.7142857142857144</v>
      </c>
      <c r="N37" s="129">
        <v>0</v>
      </c>
    </row>
    <row r="38" spans="2:14" ht="22" customHeight="1">
      <c r="B38" s="134">
        <f>RANK(D38,D$18:D$50,0)</f>
        <v>20</v>
      </c>
      <c r="C38" s="135" t="str">
        <v>NFL Nation (ESPN 4/21)</v>
      </c>
      <c r="D38" s="134">
        <v>4</v>
      </c>
      <c r="E38" s="136">
        <v>0.125</v>
      </c>
      <c r="F38" s="134">
        <v>8</v>
      </c>
      <c r="G38" s="136">
        <v>0.8</v>
      </c>
      <c r="H38" s="134">
        <v>26</v>
      </c>
      <c r="I38" s="136">
        <v>0.8125</v>
      </c>
      <c r="J38" s="134">
        <v>5</v>
      </c>
      <c r="K38" s="134">
        <v>19</v>
      </c>
      <c r="L38" s="137">
        <v>4</v>
      </c>
      <c r="M38" s="138">
        <v>4.0769230769230766</v>
      </c>
      <c r="N38" s="134">
        <v>0</v>
      </c>
    </row>
    <row r="39" spans="2:14" ht="22" customHeight="1">
      <c r="B39" s="129">
        <f>RANK(D39,D$18:D$50,0)</f>
        <v>20</v>
      </c>
      <c r="C39" s="130" t="str">
        <v>Bucky Brooks (NFL)</v>
      </c>
      <c r="D39" s="129">
        <v>4</v>
      </c>
      <c r="E39" s="131">
        <v>0.125</v>
      </c>
      <c r="F39" s="129">
        <v>7</v>
      </c>
      <c r="G39" s="131">
        <v>0.7</v>
      </c>
      <c r="H39" s="129">
        <v>23</v>
      </c>
      <c r="I39" s="131">
        <v>0.71875</v>
      </c>
      <c r="J39" s="129">
        <v>4</v>
      </c>
      <c r="K39" s="129">
        <v>14</v>
      </c>
      <c r="L39" s="133">
        <v>4</v>
      </c>
      <c r="M39" s="132">
        <v>4.5217391304347823</v>
      </c>
      <c r="N39" s="129">
        <v>0</v>
      </c>
    </row>
    <row r="40" spans="2:14" ht="22" customHeight="1">
      <c r="B40" s="134">
        <f>RANK(D40,D$18:D$50,0)</f>
        <v>23</v>
      </c>
      <c r="C40" s="135" t="str">
        <v>Daniel Jeremiah</v>
      </c>
      <c r="D40" s="134">
        <v>3</v>
      </c>
      <c r="E40" s="136">
        <v>9.375E-2</v>
      </c>
      <c r="F40" s="134">
        <v>10</v>
      </c>
      <c r="G40" s="136">
        <v>1</v>
      </c>
      <c r="H40" s="134">
        <v>29</v>
      </c>
      <c r="I40" s="136">
        <v>0.90625</v>
      </c>
      <c r="J40" s="134">
        <v>4</v>
      </c>
      <c r="K40" s="134">
        <v>21</v>
      </c>
      <c r="L40" s="137">
        <v>4</v>
      </c>
      <c r="M40" s="138">
        <v>3.8620689655172415</v>
      </c>
      <c r="N40" s="134">
        <v>0</v>
      </c>
    </row>
    <row r="41" spans="2:14" ht="22" customHeight="1">
      <c r="B41" s="129">
        <f>RANK(D41,D$18:D$50,0)</f>
        <v>23</v>
      </c>
      <c r="C41" s="130" t="str">
        <v>Jordan Reid</v>
      </c>
      <c r="D41" s="129">
        <v>3</v>
      </c>
      <c r="E41" s="131">
        <v>9.375E-2</v>
      </c>
      <c r="F41" s="129">
        <v>8</v>
      </c>
      <c r="G41" s="131">
        <v>0.8</v>
      </c>
      <c r="H41" s="129">
        <v>26</v>
      </c>
      <c r="I41" s="131">
        <v>0.8125</v>
      </c>
      <c r="J41" s="129">
        <v>3</v>
      </c>
      <c r="K41" s="129">
        <v>17</v>
      </c>
      <c r="L41" s="133">
        <v>3</v>
      </c>
      <c r="M41" s="132">
        <v>4.384615384615385</v>
      </c>
      <c r="N41" s="129">
        <v>0</v>
      </c>
    </row>
    <row r="42" spans="2:14" ht="22" customHeight="1">
      <c r="B42" s="134">
        <f>RANK(D42,D$18:D$50,0)</f>
        <v>23</v>
      </c>
      <c r="C42" s="135" t="str">
        <v>PFF ADP Consensus (4/23)</v>
      </c>
      <c r="D42" s="134">
        <v>3</v>
      </c>
      <c r="E42" s="136">
        <v>9.375E-2</v>
      </c>
      <c r="F42" s="134">
        <v>8</v>
      </c>
      <c r="G42" s="136">
        <v>0.8</v>
      </c>
      <c r="H42" s="134">
        <v>24</v>
      </c>
      <c r="I42" s="136">
        <v>0.75</v>
      </c>
      <c r="J42" s="134">
        <v>3</v>
      </c>
      <c r="K42" s="134">
        <v>15</v>
      </c>
      <c r="L42" s="137">
        <v>4</v>
      </c>
      <c r="M42" s="138">
        <v>4.791666666666667</v>
      </c>
      <c r="N42" s="134">
        <v>0</v>
      </c>
    </row>
    <row r="43" spans="2:14" ht="22" customHeight="1">
      <c r="B43" s="129">
        <f>RANK(D43,D$18:D$50,0)</f>
        <v>23</v>
      </c>
      <c r="C43" s="130" t="str">
        <v>Vinnie Iyer (Sporting News)</v>
      </c>
      <c r="D43" s="129">
        <v>3</v>
      </c>
      <c r="E43" s="131">
        <v>9.375E-2</v>
      </c>
      <c r="F43" s="129">
        <v>8</v>
      </c>
      <c r="G43" s="131">
        <v>0.8</v>
      </c>
      <c r="H43" s="129">
        <v>26</v>
      </c>
      <c r="I43" s="131">
        <v>0.8125</v>
      </c>
      <c r="J43" s="129">
        <v>5</v>
      </c>
      <c r="K43" s="129">
        <v>17</v>
      </c>
      <c r="L43" s="133">
        <v>4</v>
      </c>
      <c r="M43" s="132">
        <v>4.4615384615384617</v>
      </c>
      <c r="N43" s="129">
        <v>0</v>
      </c>
    </row>
    <row r="44" spans="2:14" ht="22" customHeight="1">
      <c r="B44" s="134">
        <f>RANK(D44,D$18:D$50,0)</f>
        <v>23</v>
      </c>
      <c r="C44" s="135" t="str">
        <v>Charlie Campbell (WalterFootball)</v>
      </c>
      <c r="D44" s="134">
        <v>3</v>
      </c>
      <c r="E44" s="136">
        <v>9.375E-2</v>
      </c>
      <c r="F44" s="134">
        <v>7</v>
      </c>
      <c r="G44" s="136">
        <v>0.7</v>
      </c>
      <c r="H44" s="134">
        <v>26</v>
      </c>
      <c r="I44" s="136">
        <v>0.8125</v>
      </c>
      <c r="J44" s="134">
        <v>3</v>
      </c>
      <c r="K44" s="134">
        <v>16</v>
      </c>
      <c r="L44" s="137">
        <v>3</v>
      </c>
      <c r="M44" s="138">
        <v>4.7037037037037033</v>
      </c>
      <c r="N44" s="134">
        <v>0</v>
      </c>
    </row>
    <row r="45" spans="2:14" ht="22" customHeight="1">
      <c r="B45" s="129">
        <f>RANK(D45,D$18:D$50,0)</f>
        <v>23</v>
      </c>
      <c r="C45" s="130" t="str">
        <v>Charles Davis (NFL)</v>
      </c>
      <c r="D45" s="129">
        <v>3</v>
      </c>
      <c r="E45" s="131">
        <v>9.375E-2</v>
      </c>
      <c r="F45" s="129">
        <v>7</v>
      </c>
      <c r="G45" s="131">
        <v>0.7</v>
      </c>
      <c r="H45" s="129">
        <v>26</v>
      </c>
      <c r="I45" s="131">
        <v>0.8125</v>
      </c>
      <c r="J45" s="129">
        <v>3</v>
      </c>
      <c r="K45" s="129">
        <v>17</v>
      </c>
      <c r="L45" s="133">
        <v>4</v>
      </c>
      <c r="M45" s="132">
        <v>4.5769230769230766</v>
      </c>
      <c r="N45" s="129">
        <v>0</v>
      </c>
    </row>
    <row r="46" spans="2:14" ht="22" customHeight="1">
      <c r="B46" s="134">
        <f>RANK(D46,D$18:D$50,0)</f>
        <v>29</v>
      </c>
      <c r="C46" s="135" t="str">
        <v>Eric Edholm (NFL)</v>
      </c>
      <c r="D46" s="134">
        <v>2</v>
      </c>
      <c r="E46" s="136">
        <v>6.25E-2</v>
      </c>
      <c r="F46" s="134">
        <v>9</v>
      </c>
      <c r="G46" s="136">
        <v>0.9</v>
      </c>
      <c r="H46" s="134">
        <v>27</v>
      </c>
      <c r="I46" s="136">
        <v>0.84375</v>
      </c>
      <c r="J46" s="134">
        <v>2</v>
      </c>
      <c r="K46" s="134">
        <v>20</v>
      </c>
      <c r="L46" s="137">
        <v>4</v>
      </c>
      <c r="M46" s="138">
        <v>4.2222222222222223</v>
      </c>
      <c r="N46" s="134">
        <v>0</v>
      </c>
    </row>
    <row r="47" spans="2:14" ht="22" customHeight="1">
      <c r="B47" s="129">
        <f>RANK(D47,D$18:D$50,0)</f>
        <v>29</v>
      </c>
      <c r="C47" s="130" t="str">
        <v>Yahoo (Tice/McDonald)</v>
      </c>
      <c r="D47" s="129">
        <v>2</v>
      </c>
      <c r="E47" s="131">
        <v>6.25E-2</v>
      </c>
      <c r="F47" s="129">
        <v>7</v>
      </c>
      <c r="G47" s="131">
        <v>0.7</v>
      </c>
      <c r="H47" s="129">
        <v>25</v>
      </c>
      <c r="I47" s="131">
        <v>0.78125</v>
      </c>
      <c r="J47" s="129">
        <v>2</v>
      </c>
      <c r="K47" s="129">
        <v>14</v>
      </c>
      <c r="L47" s="133">
        <v>3</v>
      </c>
      <c r="M47" s="132">
        <v>5.64</v>
      </c>
      <c r="N47" s="129">
        <v>0</v>
      </c>
    </row>
    <row r="48" spans="2:14" ht="22" customHeight="1">
      <c r="B48" s="134">
        <f>RANK(D48,D$18:D$50,0)</f>
        <v>31</v>
      </c>
      <c r="C48" s="135" t="str">
        <v>Brendan Donahue</v>
      </c>
      <c r="D48" s="134">
        <v>1</v>
      </c>
      <c r="E48" s="136">
        <v>3.125E-2</v>
      </c>
      <c r="F48" s="134">
        <v>7</v>
      </c>
      <c r="G48" s="136">
        <v>0.7</v>
      </c>
      <c r="H48" s="134">
        <v>27</v>
      </c>
      <c r="I48" s="136">
        <v>0.84375</v>
      </c>
      <c r="J48" s="134">
        <v>1</v>
      </c>
      <c r="K48" s="134">
        <v>16</v>
      </c>
      <c r="L48" s="137">
        <v>4</v>
      </c>
      <c r="M48" s="138">
        <v>4.4074074074074074</v>
      </c>
      <c r="N48" s="134">
        <v>0</v>
      </c>
    </row>
    <row r="49" spans="2:14" ht="22" customHeight="1">
      <c r="B49" s="129">
        <f>RANK(D49,D$18:D$50,0)</f>
        <v>31</v>
      </c>
      <c r="C49" s="130" t="str">
        <v>Rob Paul (SBR 4/23)</v>
      </c>
      <c r="D49" s="129">
        <v>1</v>
      </c>
      <c r="E49" s="131">
        <v>3.125E-2</v>
      </c>
      <c r="F49" s="129">
        <v>7</v>
      </c>
      <c r="G49" s="131">
        <v>0.7</v>
      </c>
      <c r="H49" s="129">
        <v>26</v>
      </c>
      <c r="I49" s="131">
        <v>0.8125</v>
      </c>
      <c r="J49" s="129">
        <v>1</v>
      </c>
      <c r="K49" s="129">
        <v>17</v>
      </c>
      <c r="L49" s="133">
        <v>4</v>
      </c>
      <c r="M49" s="132">
        <v>4.7307692307692308</v>
      </c>
      <c r="N49" s="129">
        <v>0</v>
      </c>
    </row>
    <row r="50" spans="2:14" ht="22" customHeight="1">
      <c r="B50" s="134">
        <f>RANK(D50,D$18:D$50,0)</f>
        <v>33</v>
      </c>
      <c r="C50" s="135" t="str">
        <v>Brent Sobleski (B/R 4/21)</v>
      </c>
      <c r="D50" s="134">
        <v>0</v>
      </c>
      <c r="E50" s="136">
        <v>0</v>
      </c>
      <c r="F50" s="134">
        <v>2</v>
      </c>
      <c r="G50" s="136">
        <v>0.2</v>
      </c>
      <c r="H50" s="134">
        <v>17</v>
      </c>
      <c r="I50" s="136">
        <v>0.53125</v>
      </c>
      <c r="J50" s="134">
        <v>1</v>
      </c>
      <c r="K50" s="134">
        <v>4</v>
      </c>
      <c r="L50" s="137">
        <v>1</v>
      </c>
      <c r="M50" s="138">
        <v>10.235294117647058</v>
      </c>
      <c r="N50" s="134">
        <v>0</v>
      </c>
    </row>
    <row r="52" spans="2:14" ht="28" customHeight="1" thickBot="1">
      <c r="B52" s="87" t="s">
        <v>842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</row>
    <row r="53" spans="2:14" ht="22" customHeight="1">
      <c r="B53" s="91" t="s">
        <v>843</v>
      </c>
      <c r="C53" s="89"/>
      <c r="D53" s="89"/>
      <c r="E53" s="96" t="s">
        <v>844</v>
      </c>
      <c r="F53" s="97"/>
      <c r="G53" s="97"/>
      <c r="H53" s="100" t="s">
        <v>845</v>
      </c>
      <c r="I53" s="101"/>
      <c r="J53" s="101"/>
      <c r="K53" s="104" t="s">
        <v>846</v>
      </c>
      <c r="L53" s="105"/>
      <c r="M53" s="105"/>
      <c r="N53" s="106"/>
    </row>
    <row r="54" spans="2:14" ht="45" customHeight="1" thickBot="1">
      <c r="B54" s="140" t="str">
        <f>INDEX('Accuracy Analysis'!A38:A70,MATCH(MAX('Accuracy Analysis'!B38:B70),'Accuracy Analysis'!B38:B70,0)) &amp; " (" &amp; MAX('Accuracy Analysis'!B38:B70) &amp; " exact)"</f>
        <v>Lance Zierlein (NFL) (8 exact)</v>
      </c>
      <c r="C54" s="139"/>
      <c r="D54" s="139"/>
      <c r="E54" s="141" t="str">
        <f>TEXT(AVERAGE('Accuracy Analysis'!B38:B70),"0.0") &amp; " of 32 across " &amp; COUNTA('Accuracy Analysis'!A38:A70) &amp; " mocks"</f>
        <v>4.5 of 32 across 33 mocks</v>
      </c>
      <c r="F54" s="142"/>
      <c r="G54" s="142"/>
      <c r="H54" s="143" t="str">
        <f>INDEX('Accuracy Analysis'!A38:A70,MATCH(MAX('Accuracy Analysis'!F38:F70),'Accuracy Analysis'!F38:F70,0)) &amp; " (" &amp; MAX('Accuracy Analysis'!F38:F70) &amp; "/32)"</f>
        <v>Luke Easterling (Athlon) (30/32)</v>
      </c>
      <c r="I54" s="144"/>
      <c r="J54" s="144"/>
      <c r="K54" s="145" t="str">
        <f>TEXT(COUNTIF('Accuracy Analysis'!B39:B70,"&lt;="&amp;'Accuracy Analysis'!B38)/COUNTA('Accuracy Analysis'!A39:A70),"0%") &amp; " — Beat " &amp; COUNTIF('Accuracy Analysis'!B39:B70,"&lt;"&amp;'Accuracy Analysis'!B38) &amp; " analysts"</f>
        <v>63% — Beat 14 analysts</v>
      </c>
      <c r="L54" s="146"/>
      <c r="M54" s="146"/>
      <c r="N54" s="147"/>
    </row>
    <row r="56" spans="2:14" ht="20" customHeight="1">
      <c r="B56" s="148" t="s">
        <v>847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</row>
  </sheetData>
  <mergeCells count="36">
    <mergeCell ref="B56:N56"/>
    <mergeCell ref="B16:L16"/>
    <mergeCell ref="B52:N52"/>
    <mergeCell ref="B53:D53"/>
    <mergeCell ref="B54:D54"/>
    <mergeCell ref="E53:G53"/>
    <mergeCell ref="E54:G54"/>
    <mergeCell ref="H53:J53"/>
    <mergeCell ref="H54:J54"/>
    <mergeCell ref="K53:N53"/>
    <mergeCell ref="K54:N54"/>
    <mergeCell ref="B12:L12"/>
    <mergeCell ref="B13:E13"/>
    <mergeCell ref="B14:E14"/>
    <mergeCell ref="F13:H13"/>
    <mergeCell ref="F14:H14"/>
    <mergeCell ref="I13:L13"/>
    <mergeCell ref="I14:L14"/>
    <mergeCell ref="F9:G9"/>
    <mergeCell ref="F10:G10"/>
    <mergeCell ref="H8:I8"/>
    <mergeCell ref="H9:I9"/>
    <mergeCell ref="H10:I10"/>
    <mergeCell ref="J8:K8"/>
    <mergeCell ref="J9:K9"/>
    <mergeCell ref="J10:K10"/>
    <mergeCell ref="B2:L4"/>
    <mergeCell ref="B5:L5"/>
    <mergeCell ref="B7:L7"/>
    <mergeCell ref="B8:C8"/>
    <mergeCell ref="B9:C9"/>
    <mergeCell ref="B10:C10"/>
    <mergeCell ref="D8:E8"/>
    <mergeCell ref="D9:E9"/>
    <mergeCell ref="D10:E10"/>
    <mergeCell ref="F8:G8"/>
  </mergeCells>
  <conditionalFormatting sqref="B18:N50">
    <cfRule type="expression" dxfId="3" priority="1">
      <formula>ISNUMBER(SEARCH("Colin",$C18))</formula>
    </cfRule>
  </conditionalFormatting>
  <conditionalFormatting sqref="B18:B50">
    <cfRule type="cellIs" dxfId="2" priority="2" operator="equal">
      <formula>1</formula>
    </cfRule>
  </conditionalFormatting>
  <conditionalFormatting sqref="B18:B50">
    <cfRule type="cellIs" dxfId="1" priority="3" operator="equal">
      <formula>2</formula>
    </cfRule>
  </conditionalFormatting>
  <conditionalFormatting sqref="B18:B50">
    <cfRule type="cellIs" dxfId="0" priority="4" operator="equal">
      <formula>3</formula>
    </cfRule>
  </conditionalFormatting>
  <conditionalFormatting sqref="D18:D50">
    <cfRule type="dataBar" priority="5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{AEC4C580-ADDA-42B6-AB06-A4C3AA53548C}</x14:id>
        </ext>
      </extLst>
    </cfRule>
  </conditionalFormatting>
  <conditionalFormatting sqref="M18:M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H50">
    <cfRule type="dataBar" priority="7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{F48247BD-B80E-4121-9970-4884363B1313}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C4C580-ADDA-42B6-AB06-A4C3AA53548C}">
            <x14:dataBar minLength="0" maxLength="100" negativeBarColorSameAsPositive="1" axisPosition="none">
              <x14:cfvo type="min"/>
              <x14:cfvo type="max"/>
            </x14:dataBar>
          </x14:cfRule>
          <xm:sqref>D18:D50</xm:sqref>
        </x14:conditionalFormatting>
        <x14:conditionalFormatting xmlns:xm="http://schemas.microsoft.com/office/excel/2006/main">
          <x14:cfRule type="dataBar" id="{F48247BD-B80E-4121-9970-4884363B1313}">
            <x14:dataBar minLength="0" maxLength="100" negativeBarColorSameAsPositive="1" axisPosition="none">
              <x14:cfvo type="min"/>
              <x14:cfvo type="max"/>
            </x14:dataBar>
          </x14:cfRule>
          <xm:sqref>H18:H50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4D78-28F7-4E72-A373-250064296CAE}">
  <dimension ref="A1:G258"/>
  <sheetViews>
    <sheetView workbookViewId="0">
      <pane ySplit="1" topLeftCell="A18" activePane="bottomLeft" state="frozen"/>
      <selection pane="bottomLeft" activeCell="A16" sqref="A16"/>
    </sheetView>
  </sheetViews>
  <sheetFormatPr defaultRowHeight="14.5"/>
  <cols>
    <col min="1" max="1" width="6.7265625" bestFit="1" customWidth="1"/>
    <col min="2" max="2" width="8" bestFit="1" customWidth="1"/>
    <col min="3" max="3" width="7.36328125" bestFit="1" customWidth="1"/>
    <col min="4" max="4" width="22.1796875" bestFit="1" customWidth="1"/>
    <col min="5" max="5" width="9.90625" bestFit="1" customWidth="1"/>
    <col min="6" max="6" width="17.453125" bestFit="1" customWidth="1"/>
    <col min="7" max="7" width="6.81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1</v>
      </c>
      <c r="C2" t="s">
        <v>7</v>
      </c>
      <c r="D2" t="s">
        <v>8</v>
      </c>
      <c r="E2" t="s">
        <v>9</v>
      </c>
      <c r="F2" t="s">
        <v>10</v>
      </c>
      <c r="G2" s="1">
        <v>1</v>
      </c>
    </row>
    <row r="3" spans="1:7">
      <c r="A3" s="1">
        <v>2</v>
      </c>
      <c r="B3" s="1">
        <v>1</v>
      </c>
      <c r="C3" t="s">
        <v>11</v>
      </c>
      <c r="D3" t="s">
        <v>12</v>
      </c>
      <c r="E3" t="s">
        <v>13</v>
      </c>
      <c r="F3" t="s">
        <v>14</v>
      </c>
      <c r="G3" s="1">
        <v>5</v>
      </c>
    </row>
    <row r="4" spans="1:7">
      <c r="A4" s="1">
        <v>3</v>
      </c>
      <c r="B4" s="1">
        <v>1</v>
      </c>
      <c r="C4" t="s">
        <v>15</v>
      </c>
      <c r="D4" t="s">
        <v>16</v>
      </c>
      <c r="E4" t="s">
        <v>17</v>
      </c>
      <c r="F4" t="s">
        <v>18</v>
      </c>
      <c r="G4" s="1">
        <v>3</v>
      </c>
    </row>
    <row r="5" spans="1:7">
      <c r="A5" s="1">
        <v>4</v>
      </c>
      <c r="B5" s="1">
        <v>1</v>
      </c>
      <c r="C5" t="s">
        <v>19</v>
      </c>
      <c r="D5" t="s">
        <v>20</v>
      </c>
      <c r="E5" t="s">
        <v>21</v>
      </c>
      <c r="F5" t="s">
        <v>22</v>
      </c>
      <c r="G5" s="1">
        <v>2</v>
      </c>
    </row>
    <row r="6" spans="1:7">
      <c r="A6" s="1">
        <v>5</v>
      </c>
      <c r="B6" s="1">
        <v>1</v>
      </c>
      <c r="C6" t="s">
        <v>23</v>
      </c>
      <c r="D6" t="s">
        <v>24</v>
      </c>
      <c r="E6" t="s">
        <v>17</v>
      </c>
      <c r="F6" t="s">
        <v>18</v>
      </c>
      <c r="G6" s="1">
        <v>4</v>
      </c>
    </row>
    <row r="7" spans="1:7">
      <c r="A7" s="1">
        <v>6</v>
      </c>
      <c r="B7" s="1">
        <v>1</v>
      </c>
      <c r="C7" t="s">
        <v>25</v>
      </c>
      <c r="D7" t="s">
        <v>26</v>
      </c>
      <c r="E7" t="s">
        <v>27</v>
      </c>
      <c r="F7" t="s">
        <v>28</v>
      </c>
      <c r="G7" s="1">
        <v>9</v>
      </c>
    </row>
    <row r="8" spans="1:7">
      <c r="A8" s="1">
        <v>7</v>
      </c>
      <c r="B8" s="1">
        <v>1</v>
      </c>
      <c r="C8" t="s">
        <v>29</v>
      </c>
      <c r="D8" t="s">
        <v>30</v>
      </c>
      <c r="E8" t="s">
        <v>31</v>
      </c>
      <c r="F8" t="s">
        <v>18</v>
      </c>
      <c r="G8" s="1">
        <v>8</v>
      </c>
    </row>
    <row r="9" spans="1:7">
      <c r="A9" s="1">
        <v>8</v>
      </c>
      <c r="B9" s="1">
        <v>1</v>
      </c>
      <c r="C9" t="s">
        <v>32</v>
      </c>
      <c r="D9" t="s">
        <v>33</v>
      </c>
      <c r="E9" t="s">
        <v>13</v>
      </c>
      <c r="F9" t="s">
        <v>28</v>
      </c>
      <c r="G9" s="1">
        <v>16</v>
      </c>
    </row>
    <row r="10" spans="1:7">
      <c r="A10" s="1">
        <v>9</v>
      </c>
      <c r="B10" s="1">
        <v>1</v>
      </c>
      <c r="C10" t="s">
        <v>34</v>
      </c>
      <c r="D10" t="s">
        <v>35</v>
      </c>
      <c r="E10" t="s">
        <v>36</v>
      </c>
      <c r="F10" t="s">
        <v>37</v>
      </c>
      <c r="G10" s="1">
        <v>14</v>
      </c>
    </row>
    <row r="11" spans="1:7">
      <c r="A11" s="1">
        <v>10</v>
      </c>
      <c r="B11" s="1">
        <v>1</v>
      </c>
      <c r="C11" t="s">
        <v>23</v>
      </c>
      <c r="D11" t="s">
        <v>38</v>
      </c>
      <c r="E11" t="s">
        <v>39</v>
      </c>
      <c r="F11" t="s">
        <v>18</v>
      </c>
      <c r="G11" s="1">
        <v>6</v>
      </c>
    </row>
    <row r="12" spans="1:7">
      <c r="A12" s="1">
        <v>11</v>
      </c>
      <c r="B12" s="1">
        <v>1</v>
      </c>
      <c r="C12" t="s">
        <v>40</v>
      </c>
      <c r="D12" t="s">
        <v>41</v>
      </c>
      <c r="E12" t="s">
        <v>31</v>
      </c>
      <c r="F12" t="s">
        <v>42</v>
      </c>
      <c r="G12" s="1">
        <v>7</v>
      </c>
    </row>
    <row r="13" spans="1:7">
      <c r="A13" s="1">
        <v>12</v>
      </c>
      <c r="B13" s="1">
        <v>1</v>
      </c>
      <c r="C13" t="s">
        <v>43</v>
      </c>
      <c r="D13" t="s">
        <v>44</v>
      </c>
      <c r="E13" t="s">
        <v>27</v>
      </c>
      <c r="F13" t="s">
        <v>45</v>
      </c>
      <c r="G13" s="1">
        <v>10</v>
      </c>
    </row>
    <row r="14" spans="1:7">
      <c r="A14" s="1">
        <v>13</v>
      </c>
      <c r="B14" s="1">
        <v>1</v>
      </c>
      <c r="C14" t="s">
        <v>46</v>
      </c>
      <c r="D14" t="s">
        <v>47</v>
      </c>
      <c r="E14" t="s">
        <v>31</v>
      </c>
      <c r="F14" t="s">
        <v>48</v>
      </c>
      <c r="G14" s="1">
        <v>11</v>
      </c>
    </row>
    <row r="15" spans="1:7">
      <c r="A15" s="1">
        <v>14</v>
      </c>
      <c r="B15" s="1">
        <v>1</v>
      </c>
      <c r="C15" t="s">
        <v>49</v>
      </c>
      <c r="D15" t="s">
        <v>50</v>
      </c>
      <c r="E15" t="s">
        <v>51</v>
      </c>
      <c r="F15" t="s">
        <v>52</v>
      </c>
      <c r="G15" s="1">
        <v>12</v>
      </c>
    </row>
    <row r="16" spans="1:7">
      <c r="A16" s="1">
        <v>15</v>
      </c>
      <c r="B16" s="1">
        <v>1</v>
      </c>
      <c r="C16" t="s">
        <v>53</v>
      </c>
      <c r="D16" t="s">
        <v>54</v>
      </c>
      <c r="E16" t="s">
        <v>55</v>
      </c>
      <c r="F16" t="s">
        <v>56</v>
      </c>
      <c r="G16" s="1">
        <v>15</v>
      </c>
    </row>
    <row r="17" spans="1:7">
      <c r="A17" s="1">
        <v>16</v>
      </c>
      <c r="B17" s="1">
        <v>1</v>
      </c>
      <c r="C17" t="s">
        <v>11</v>
      </c>
      <c r="D17" t="s">
        <v>57</v>
      </c>
      <c r="E17" t="s">
        <v>27</v>
      </c>
      <c r="F17" t="s">
        <v>58</v>
      </c>
      <c r="G17" s="1">
        <v>13</v>
      </c>
    </row>
    <row r="18" spans="1:7">
      <c r="A18" s="1">
        <v>17</v>
      </c>
      <c r="B18" s="1">
        <v>1</v>
      </c>
      <c r="C18" t="s">
        <v>59</v>
      </c>
      <c r="D18" t="s">
        <v>60</v>
      </c>
      <c r="E18" t="s">
        <v>39</v>
      </c>
      <c r="F18" t="s">
        <v>56</v>
      </c>
      <c r="G18" s="1">
        <v>18</v>
      </c>
    </row>
    <row r="19" spans="1:7">
      <c r="A19" s="1">
        <v>18</v>
      </c>
      <c r="B19" s="1">
        <v>1</v>
      </c>
      <c r="C19" t="s">
        <v>61</v>
      </c>
      <c r="D19" t="s">
        <v>62</v>
      </c>
      <c r="E19" t="s">
        <v>36</v>
      </c>
      <c r="F19" t="s">
        <v>63</v>
      </c>
      <c r="G19" s="1">
        <v>29</v>
      </c>
    </row>
    <row r="20" spans="1:7">
      <c r="A20" s="1">
        <v>19</v>
      </c>
      <c r="B20" s="1">
        <v>1</v>
      </c>
      <c r="C20" t="s">
        <v>64</v>
      </c>
      <c r="D20" t="s">
        <v>65</v>
      </c>
      <c r="E20" t="s">
        <v>27</v>
      </c>
      <c r="F20" t="s">
        <v>66</v>
      </c>
      <c r="G20" s="1">
        <v>20</v>
      </c>
    </row>
    <row r="21" spans="1:7">
      <c r="A21" s="1">
        <v>20</v>
      </c>
      <c r="B21" s="1">
        <v>1</v>
      </c>
      <c r="C21" t="s">
        <v>43</v>
      </c>
      <c r="D21" t="s">
        <v>67</v>
      </c>
      <c r="E21" t="s">
        <v>13</v>
      </c>
      <c r="F21" t="s">
        <v>28</v>
      </c>
      <c r="G21" s="1">
        <v>23</v>
      </c>
    </row>
    <row r="22" spans="1:7">
      <c r="A22" s="1">
        <v>21</v>
      </c>
      <c r="B22" s="1">
        <v>1</v>
      </c>
      <c r="C22" t="s">
        <v>68</v>
      </c>
      <c r="D22" t="s">
        <v>69</v>
      </c>
      <c r="E22" t="s">
        <v>9</v>
      </c>
      <c r="F22" t="s">
        <v>70</v>
      </c>
      <c r="G22" s="1">
        <v>24</v>
      </c>
    </row>
    <row r="23" spans="1:7">
      <c r="A23" s="1">
        <v>22</v>
      </c>
      <c r="B23" s="1">
        <v>1</v>
      </c>
      <c r="C23" t="s">
        <v>71</v>
      </c>
      <c r="D23" t="s">
        <v>72</v>
      </c>
      <c r="E23" t="s">
        <v>27</v>
      </c>
      <c r="F23" t="s">
        <v>70</v>
      </c>
      <c r="G23" s="1">
        <v>17</v>
      </c>
    </row>
    <row r="24" spans="1:7">
      <c r="A24" s="1">
        <v>23</v>
      </c>
      <c r="B24" s="1">
        <v>1</v>
      </c>
      <c r="C24" t="s">
        <v>73</v>
      </c>
      <c r="D24" t="s">
        <v>74</v>
      </c>
      <c r="E24" t="s">
        <v>39</v>
      </c>
      <c r="F24" t="s">
        <v>75</v>
      </c>
      <c r="G24" s="1">
        <v>33</v>
      </c>
    </row>
    <row r="25" spans="1:7">
      <c r="A25" s="1">
        <v>24</v>
      </c>
      <c r="B25" s="1">
        <v>1</v>
      </c>
      <c r="C25" t="s">
        <v>25</v>
      </c>
      <c r="D25" t="s">
        <v>76</v>
      </c>
      <c r="E25" t="s">
        <v>31</v>
      </c>
      <c r="F25" t="s">
        <v>77</v>
      </c>
      <c r="G25" s="1">
        <v>44</v>
      </c>
    </row>
    <row r="26" spans="1:7">
      <c r="A26" s="1">
        <v>25</v>
      </c>
      <c r="B26" s="1">
        <v>1</v>
      </c>
      <c r="C26" t="s">
        <v>78</v>
      </c>
      <c r="D26" t="s">
        <v>79</v>
      </c>
      <c r="E26" t="s">
        <v>13</v>
      </c>
      <c r="F26" t="s">
        <v>80</v>
      </c>
      <c r="G26" s="1">
        <v>26</v>
      </c>
    </row>
    <row r="27" spans="1:7">
      <c r="A27" s="1">
        <v>26</v>
      </c>
      <c r="B27" s="1">
        <v>1</v>
      </c>
      <c r="C27" t="s">
        <v>81</v>
      </c>
      <c r="D27" t="s">
        <v>82</v>
      </c>
      <c r="E27" t="s">
        <v>27</v>
      </c>
      <c r="F27" t="s">
        <v>45</v>
      </c>
      <c r="G27" s="1">
        <v>25</v>
      </c>
    </row>
    <row r="28" spans="1:7">
      <c r="A28" s="1">
        <v>27</v>
      </c>
      <c r="B28" s="1">
        <v>1</v>
      </c>
      <c r="C28" t="s">
        <v>83</v>
      </c>
      <c r="D28" t="s">
        <v>84</v>
      </c>
      <c r="E28" t="s">
        <v>27</v>
      </c>
      <c r="F28" t="s">
        <v>42</v>
      </c>
      <c r="G28" s="1">
        <v>19</v>
      </c>
    </row>
    <row r="29" spans="1:7">
      <c r="A29" s="1">
        <v>28</v>
      </c>
      <c r="B29" s="1">
        <v>1</v>
      </c>
      <c r="C29" t="s">
        <v>85</v>
      </c>
      <c r="D29" t="s">
        <v>86</v>
      </c>
      <c r="E29" t="s">
        <v>36</v>
      </c>
      <c r="F29" t="s">
        <v>63</v>
      </c>
      <c r="G29" s="1">
        <v>43</v>
      </c>
    </row>
    <row r="30" spans="1:7">
      <c r="A30" s="1">
        <v>29</v>
      </c>
      <c r="B30" s="1">
        <v>1</v>
      </c>
      <c r="C30" t="s">
        <v>34</v>
      </c>
      <c r="D30" t="s">
        <v>87</v>
      </c>
      <c r="E30" t="s">
        <v>31</v>
      </c>
      <c r="F30" t="s">
        <v>88</v>
      </c>
      <c r="G30" s="1">
        <v>21</v>
      </c>
    </row>
    <row r="31" spans="1:7">
      <c r="A31" s="1">
        <v>30</v>
      </c>
      <c r="B31" s="1">
        <v>1</v>
      </c>
      <c r="C31" t="s">
        <v>40</v>
      </c>
      <c r="D31" t="s">
        <v>89</v>
      </c>
      <c r="E31" t="s">
        <v>36</v>
      </c>
      <c r="F31" t="s">
        <v>90</v>
      </c>
      <c r="G31" s="1">
        <v>31</v>
      </c>
    </row>
    <row r="32" spans="1:7">
      <c r="A32" s="1">
        <v>31</v>
      </c>
      <c r="B32" s="1">
        <v>1</v>
      </c>
      <c r="C32" t="s">
        <v>91</v>
      </c>
      <c r="D32" t="s">
        <v>92</v>
      </c>
      <c r="E32" t="s">
        <v>17</v>
      </c>
      <c r="F32" t="s">
        <v>58</v>
      </c>
      <c r="G32" s="1">
        <v>28</v>
      </c>
    </row>
    <row r="33" spans="1:7">
      <c r="A33" s="1">
        <v>32</v>
      </c>
      <c r="B33" s="1">
        <v>1</v>
      </c>
      <c r="C33" t="s">
        <v>93</v>
      </c>
      <c r="D33" t="s">
        <v>94</v>
      </c>
      <c r="E33" t="s">
        <v>21</v>
      </c>
      <c r="F33" t="s">
        <v>22</v>
      </c>
      <c r="G33" s="1">
        <v>27</v>
      </c>
    </row>
    <row r="34" spans="1:7">
      <c r="A34" s="1">
        <v>33</v>
      </c>
      <c r="B34" s="1">
        <v>2</v>
      </c>
      <c r="C34" t="s">
        <v>11</v>
      </c>
      <c r="D34" t="s">
        <v>95</v>
      </c>
      <c r="E34" t="s">
        <v>36</v>
      </c>
      <c r="F34" t="s">
        <v>96</v>
      </c>
      <c r="G34" s="1">
        <v>188</v>
      </c>
    </row>
    <row r="35" spans="1:7">
      <c r="A35" s="1">
        <v>34</v>
      </c>
      <c r="B35" s="1">
        <v>2</v>
      </c>
      <c r="C35" t="s">
        <v>15</v>
      </c>
      <c r="D35" t="s">
        <v>97</v>
      </c>
      <c r="E35" t="s">
        <v>13</v>
      </c>
      <c r="F35" t="s">
        <v>98</v>
      </c>
      <c r="G35" s="1">
        <v>30</v>
      </c>
    </row>
    <row r="36" spans="1:7">
      <c r="A36" s="1">
        <v>35</v>
      </c>
      <c r="B36" s="1">
        <v>2</v>
      </c>
      <c r="C36" t="s">
        <v>19</v>
      </c>
      <c r="D36" t="s">
        <v>99</v>
      </c>
      <c r="E36" t="s">
        <v>100</v>
      </c>
      <c r="F36" t="s">
        <v>18</v>
      </c>
      <c r="G36" s="1">
        <v>37</v>
      </c>
    </row>
    <row r="37" spans="1:7">
      <c r="A37" s="1">
        <v>36</v>
      </c>
      <c r="B37" s="1">
        <v>2</v>
      </c>
      <c r="C37" t="s">
        <v>7</v>
      </c>
      <c r="D37" t="s">
        <v>101</v>
      </c>
      <c r="E37" t="s">
        <v>17</v>
      </c>
      <c r="F37" t="s">
        <v>70</v>
      </c>
      <c r="G37" s="1">
        <v>125</v>
      </c>
    </row>
    <row r="38" spans="1:7">
      <c r="A38" s="1">
        <v>37</v>
      </c>
      <c r="B38" s="1">
        <v>2</v>
      </c>
      <c r="C38" t="s">
        <v>23</v>
      </c>
      <c r="D38" t="s">
        <v>102</v>
      </c>
      <c r="E38" t="s">
        <v>100</v>
      </c>
      <c r="F38" t="s">
        <v>66</v>
      </c>
      <c r="G38" s="1">
        <v>32</v>
      </c>
    </row>
    <row r="39" spans="1:7">
      <c r="A39" s="1">
        <v>38</v>
      </c>
      <c r="B39" s="1">
        <v>2</v>
      </c>
      <c r="C39" t="s">
        <v>85</v>
      </c>
      <c r="D39" t="s">
        <v>103</v>
      </c>
      <c r="E39" t="s">
        <v>13</v>
      </c>
      <c r="F39" t="s">
        <v>104</v>
      </c>
      <c r="G39" s="1">
        <v>22</v>
      </c>
    </row>
    <row r="40" spans="1:7">
      <c r="A40" s="1">
        <v>39</v>
      </c>
      <c r="B40" s="1">
        <v>2</v>
      </c>
      <c r="C40" t="s">
        <v>25</v>
      </c>
      <c r="D40" t="s">
        <v>105</v>
      </c>
      <c r="E40" t="s">
        <v>36</v>
      </c>
      <c r="F40" t="s">
        <v>66</v>
      </c>
      <c r="G40" s="1">
        <v>46</v>
      </c>
    </row>
    <row r="41" spans="1:7">
      <c r="A41" s="1">
        <v>40</v>
      </c>
      <c r="B41" s="1">
        <v>2</v>
      </c>
      <c r="C41" t="s">
        <v>34</v>
      </c>
      <c r="D41" t="s">
        <v>106</v>
      </c>
      <c r="E41" t="s">
        <v>31</v>
      </c>
      <c r="F41" t="s">
        <v>70</v>
      </c>
      <c r="G41" s="1">
        <v>42</v>
      </c>
    </row>
    <row r="42" spans="1:7">
      <c r="A42" s="1">
        <v>41</v>
      </c>
      <c r="B42" s="1">
        <v>2</v>
      </c>
      <c r="C42" t="s">
        <v>107</v>
      </c>
      <c r="D42" t="s">
        <v>108</v>
      </c>
      <c r="E42" t="s">
        <v>39</v>
      </c>
      <c r="F42" t="s">
        <v>48</v>
      </c>
      <c r="G42" s="1">
        <v>210</v>
      </c>
    </row>
    <row r="43" spans="1:7">
      <c r="A43" s="1">
        <v>42</v>
      </c>
      <c r="B43" s="1">
        <v>2</v>
      </c>
      <c r="C43" t="s">
        <v>32</v>
      </c>
      <c r="D43" t="s">
        <v>109</v>
      </c>
      <c r="E43" t="s">
        <v>13</v>
      </c>
      <c r="F43" t="s">
        <v>110</v>
      </c>
      <c r="G43" s="1">
        <v>61</v>
      </c>
    </row>
    <row r="44" spans="1:7">
      <c r="A44" s="1">
        <v>43</v>
      </c>
      <c r="B44" s="1">
        <v>2</v>
      </c>
      <c r="C44" t="s">
        <v>40</v>
      </c>
      <c r="D44" t="s">
        <v>111</v>
      </c>
      <c r="E44" t="s">
        <v>36</v>
      </c>
      <c r="F44" t="s">
        <v>112</v>
      </c>
      <c r="G44" s="1">
        <v>47</v>
      </c>
    </row>
    <row r="45" spans="1:7">
      <c r="A45" s="1">
        <v>44</v>
      </c>
      <c r="B45" s="1">
        <v>2</v>
      </c>
      <c r="C45" t="s">
        <v>11</v>
      </c>
      <c r="D45" t="s">
        <v>113</v>
      </c>
      <c r="E45" t="s">
        <v>51</v>
      </c>
      <c r="F45" t="s">
        <v>114</v>
      </c>
      <c r="G45" s="1">
        <v>41</v>
      </c>
    </row>
    <row r="46" spans="1:7">
      <c r="A46" s="1">
        <v>45</v>
      </c>
      <c r="B46" s="1">
        <v>2</v>
      </c>
      <c r="C46" t="s">
        <v>49</v>
      </c>
      <c r="D46" t="s">
        <v>115</v>
      </c>
      <c r="E46" t="s">
        <v>100</v>
      </c>
      <c r="F46" t="s">
        <v>116</v>
      </c>
      <c r="G46" s="1">
        <v>62</v>
      </c>
    </row>
    <row r="47" spans="1:7">
      <c r="A47" s="1">
        <v>46</v>
      </c>
      <c r="B47" s="1">
        <v>2</v>
      </c>
      <c r="C47" t="s">
        <v>53</v>
      </c>
      <c r="D47" t="s">
        <v>117</v>
      </c>
      <c r="E47" t="s">
        <v>13</v>
      </c>
      <c r="F47" t="s">
        <v>118</v>
      </c>
      <c r="G47" s="1">
        <v>36</v>
      </c>
    </row>
    <row r="48" spans="1:7">
      <c r="A48" s="1">
        <v>47</v>
      </c>
      <c r="B48" s="1">
        <v>2</v>
      </c>
      <c r="C48" t="s">
        <v>119</v>
      </c>
      <c r="D48" t="s">
        <v>120</v>
      </c>
      <c r="E48" t="s">
        <v>17</v>
      </c>
      <c r="F48" t="s">
        <v>14</v>
      </c>
      <c r="G48" s="1">
        <v>38</v>
      </c>
    </row>
    <row r="49" spans="1:7">
      <c r="A49" s="1">
        <v>48</v>
      </c>
      <c r="B49" s="1">
        <v>2</v>
      </c>
      <c r="C49" t="s">
        <v>121</v>
      </c>
      <c r="D49" t="s">
        <v>122</v>
      </c>
      <c r="E49" t="s">
        <v>31</v>
      </c>
      <c r="F49" t="s">
        <v>123</v>
      </c>
      <c r="G49" s="1">
        <v>82</v>
      </c>
    </row>
    <row r="50" spans="1:7">
      <c r="A50" s="1">
        <v>49</v>
      </c>
      <c r="B50" s="1">
        <v>2</v>
      </c>
      <c r="C50" t="s">
        <v>61</v>
      </c>
      <c r="D50" t="s">
        <v>124</v>
      </c>
      <c r="E50" t="s">
        <v>100</v>
      </c>
      <c r="F50" t="s">
        <v>58</v>
      </c>
      <c r="G50" s="1">
        <v>39</v>
      </c>
    </row>
    <row r="51" spans="1:7">
      <c r="A51" s="1">
        <v>50</v>
      </c>
      <c r="B51" s="1">
        <v>2</v>
      </c>
      <c r="C51" t="s">
        <v>59</v>
      </c>
      <c r="D51" t="s">
        <v>125</v>
      </c>
      <c r="E51" t="s">
        <v>13</v>
      </c>
      <c r="F51" t="s">
        <v>126</v>
      </c>
      <c r="G51" s="1">
        <v>54</v>
      </c>
    </row>
    <row r="52" spans="1:7">
      <c r="A52" s="1">
        <v>51</v>
      </c>
      <c r="B52" s="1">
        <v>2</v>
      </c>
      <c r="C52" t="s">
        <v>64</v>
      </c>
      <c r="D52" t="s">
        <v>127</v>
      </c>
      <c r="E52" t="s">
        <v>36</v>
      </c>
      <c r="F52" t="s">
        <v>10</v>
      </c>
      <c r="G52" s="1">
        <v>57</v>
      </c>
    </row>
    <row r="53" spans="1:7">
      <c r="A53" s="1">
        <v>52</v>
      </c>
      <c r="B53" s="1">
        <v>2</v>
      </c>
      <c r="C53" t="s">
        <v>128</v>
      </c>
      <c r="D53" t="s">
        <v>129</v>
      </c>
      <c r="E53" t="s">
        <v>13</v>
      </c>
      <c r="F53" t="s">
        <v>52</v>
      </c>
      <c r="G53" s="1">
        <v>65</v>
      </c>
    </row>
    <row r="54" spans="1:7">
      <c r="A54" s="1">
        <v>53</v>
      </c>
      <c r="B54" s="1">
        <v>2</v>
      </c>
      <c r="C54" t="s">
        <v>68</v>
      </c>
      <c r="D54" t="s">
        <v>130</v>
      </c>
      <c r="E54" t="s">
        <v>39</v>
      </c>
      <c r="F54" t="s">
        <v>37</v>
      </c>
      <c r="G54" s="1">
        <v>88</v>
      </c>
    </row>
    <row r="55" spans="1:7">
      <c r="A55" s="1">
        <v>54</v>
      </c>
      <c r="B55" s="1">
        <v>2</v>
      </c>
      <c r="C55" t="s">
        <v>73</v>
      </c>
      <c r="D55" t="s">
        <v>131</v>
      </c>
      <c r="E55" t="s">
        <v>55</v>
      </c>
      <c r="F55" t="s">
        <v>132</v>
      </c>
      <c r="G55" s="1">
        <v>52</v>
      </c>
    </row>
    <row r="56" spans="1:7">
      <c r="A56" s="1">
        <v>55</v>
      </c>
      <c r="B56" s="1">
        <v>2</v>
      </c>
      <c r="C56" t="s">
        <v>71</v>
      </c>
      <c r="D56" t="s">
        <v>133</v>
      </c>
      <c r="E56" t="s">
        <v>51</v>
      </c>
      <c r="F56" t="s">
        <v>56</v>
      </c>
      <c r="G56" s="1">
        <v>34</v>
      </c>
    </row>
    <row r="57" spans="1:7">
      <c r="A57" s="1">
        <v>56</v>
      </c>
      <c r="B57" s="1">
        <v>2</v>
      </c>
      <c r="C57" t="s">
        <v>134</v>
      </c>
      <c r="D57" t="s">
        <v>135</v>
      </c>
      <c r="E57" t="s">
        <v>17</v>
      </c>
      <c r="F57" t="s">
        <v>136</v>
      </c>
      <c r="G57" s="1">
        <v>58</v>
      </c>
    </row>
    <row r="58" spans="1:7">
      <c r="A58" s="1">
        <v>57</v>
      </c>
      <c r="B58" s="1">
        <v>2</v>
      </c>
      <c r="C58" t="s">
        <v>78</v>
      </c>
      <c r="D58" t="s">
        <v>137</v>
      </c>
      <c r="E58" t="s">
        <v>36</v>
      </c>
      <c r="F58" t="s">
        <v>138</v>
      </c>
      <c r="G58" s="1">
        <v>45</v>
      </c>
    </row>
    <row r="59" spans="1:7">
      <c r="A59" s="1">
        <v>58</v>
      </c>
      <c r="B59" s="1">
        <v>2</v>
      </c>
      <c r="C59" t="s">
        <v>83</v>
      </c>
      <c r="D59" t="s">
        <v>139</v>
      </c>
      <c r="E59" t="s">
        <v>27</v>
      </c>
      <c r="F59" t="s">
        <v>96</v>
      </c>
      <c r="G59" s="1">
        <v>72</v>
      </c>
    </row>
    <row r="60" spans="1:7">
      <c r="A60" s="1">
        <v>59</v>
      </c>
      <c r="B60" s="1">
        <v>2</v>
      </c>
      <c r="C60" t="s">
        <v>85</v>
      </c>
      <c r="D60" t="s">
        <v>140</v>
      </c>
      <c r="E60" t="s">
        <v>17</v>
      </c>
      <c r="F60" t="s">
        <v>104</v>
      </c>
      <c r="G60" s="1">
        <v>59</v>
      </c>
    </row>
    <row r="61" spans="1:7">
      <c r="A61" s="1">
        <v>60</v>
      </c>
      <c r="B61" s="1">
        <v>2</v>
      </c>
      <c r="C61" t="s">
        <v>78</v>
      </c>
      <c r="D61" t="s">
        <v>141</v>
      </c>
      <c r="E61" t="s">
        <v>100</v>
      </c>
      <c r="F61" t="s">
        <v>118</v>
      </c>
      <c r="G61" s="1">
        <v>89</v>
      </c>
    </row>
    <row r="62" spans="1:7">
      <c r="A62" s="1">
        <v>61</v>
      </c>
      <c r="B62" s="1">
        <v>2</v>
      </c>
      <c r="C62" t="s">
        <v>46</v>
      </c>
      <c r="D62" t="s">
        <v>142</v>
      </c>
      <c r="E62" t="s">
        <v>17</v>
      </c>
      <c r="F62" t="s">
        <v>143</v>
      </c>
      <c r="G62" s="1">
        <v>53</v>
      </c>
    </row>
    <row r="63" spans="1:7">
      <c r="A63" s="1">
        <v>62</v>
      </c>
      <c r="B63" s="1">
        <v>2</v>
      </c>
      <c r="C63" t="s">
        <v>144</v>
      </c>
      <c r="D63" t="s">
        <v>145</v>
      </c>
      <c r="E63" t="s">
        <v>55</v>
      </c>
      <c r="F63" t="s">
        <v>146</v>
      </c>
      <c r="G63" s="1">
        <v>176</v>
      </c>
    </row>
    <row r="64" spans="1:7">
      <c r="A64" s="1">
        <v>63</v>
      </c>
      <c r="B64" s="1">
        <v>2</v>
      </c>
      <c r="C64" t="s">
        <v>91</v>
      </c>
      <c r="D64" t="s">
        <v>147</v>
      </c>
      <c r="E64" t="s">
        <v>100</v>
      </c>
      <c r="F64" t="s">
        <v>14</v>
      </c>
      <c r="G64" s="1">
        <v>55</v>
      </c>
    </row>
    <row r="65" spans="1:7">
      <c r="A65" s="1">
        <v>64</v>
      </c>
      <c r="B65" s="1">
        <v>2</v>
      </c>
      <c r="C65" t="s">
        <v>93</v>
      </c>
      <c r="D65" t="s">
        <v>148</v>
      </c>
      <c r="E65" t="s">
        <v>21</v>
      </c>
      <c r="F65" t="s">
        <v>149</v>
      </c>
      <c r="G65" s="1">
        <v>67</v>
      </c>
    </row>
    <row r="66" spans="1:7">
      <c r="A66" s="1">
        <v>65</v>
      </c>
      <c r="B66" s="1">
        <v>3</v>
      </c>
      <c r="C66" t="s">
        <v>15</v>
      </c>
      <c r="D66" t="s">
        <v>150</v>
      </c>
      <c r="E66" t="s">
        <v>13</v>
      </c>
      <c r="F66" t="s">
        <v>80</v>
      </c>
      <c r="G66" s="1">
        <v>75</v>
      </c>
    </row>
    <row r="67" spans="1:7">
      <c r="A67" s="1">
        <v>66</v>
      </c>
      <c r="B67" s="1">
        <v>3</v>
      </c>
      <c r="C67" t="s">
        <v>19</v>
      </c>
      <c r="D67" t="s">
        <v>151</v>
      </c>
      <c r="E67" t="s">
        <v>27</v>
      </c>
      <c r="F67" t="s">
        <v>152</v>
      </c>
      <c r="G67" s="1">
        <v>50</v>
      </c>
    </row>
    <row r="68" spans="1:7">
      <c r="A68" s="1">
        <v>67</v>
      </c>
      <c r="B68" s="1">
        <v>3</v>
      </c>
      <c r="C68" t="s">
        <v>7</v>
      </c>
      <c r="D68" t="s">
        <v>153</v>
      </c>
      <c r="E68" t="s">
        <v>31</v>
      </c>
      <c r="F68" t="s">
        <v>154</v>
      </c>
      <c r="G68" s="1">
        <v>68</v>
      </c>
    </row>
    <row r="69" spans="1:7">
      <c r="A69" s="1">
        <v>68</v>
      </c>
      <c r="B69" s="1">
        <v>3</v>
      </c>
      <c r="C69" t="s">
        <v>73</v>
      </c>
      <c r="D69" t="s">
        <v>155</v>
      </c>
      <c r="E69" t="s">
        <v>31</v>
      </c>
      <c r="F69" t="s">
        <v>66</v>
      </c>
      <c r="G69" s="1">
        <v>48</v>
      </c>
    </row>
    <row r="70" spans="1:7">
      <c r="A70" s="1">
        <v>69</v>
      </c>
      <c r="B70" s="1">
        <v>3</v>
      </c>
      <c r="C70" t="s">
        <v>85</v>
      </c>
      <c r="D70" t="s">
        <v>156</v>
      </c>
      <c r="E70" t="s">
        <v>36</v>
      </c>
      <c r="F70" t="s">
        <v>42</v>
      </c>
      <c r="G70" s="1">
        <v>77</v>
      </c>
    </row>
    <row r="71" spans="1:7">
      <c r="A71" s="1">
        <v>70</v>
      </c>
      <c r="B71" s="1">
        <v>3</v>
      </c>
      <c r="C71" t="s">
        <v>25</v>
      </c>
      <c r="D71" t="s">
        <v>157</v>
      </c>
      <c r="E71" t="s">
        <v>17</v>
      </c>
      <c r="F71" t="s">
        <v>126</v>
      </c>
      <c r="G71" s="1">
        <v>56</v>
      </c>
    </row>
    <row r="72" spans="1:7">
      <c r="A72" s="1">
        <v>71</v>
      </c>
      <c r="B72" s="1">
        <v>3</v>
      </c>
      <c r="C72" t="s">
        <v>29</v>
      </c>
      <c r="D72" t="s">
        <v>158</v>
      </c>
      <c r="E72" t="s">
        <v>31</v>
      </c>
      <c r="F72" t="s">
        <v>22</v>
      </c>
      <c r="G72" s="1">
        <v>76</v>
      </c>
    </row>
    <row r="73" spans="1:7">
      <c r="A73" s="1">
        <v>72</v>
      </c>
      <c r="B73" s="1">
        <v>3</v>
      </c>
      <c r="C73" t="s">
        <v>107</v>
      </c>
      <c r="D73" t="s">
        <v>159</v>
      </c>
      <c r="E73" t="s">
        <v>55</v>
      </c>
      <c r="F73" t="s">
        <v>18</v>
      </c>
      <c r="G73" s="1">
        <v>93</v>
      </c>
    </row>
    <row r="74" spans="1:7">
      <c r="A74" s="1">
        <v>73</v>
      </c>
      <c r="B74" s="1">
        <v>3</v>
      </c>
      <c r="C74" t="s">
        <v>32</v>
      </c>
      <c r="D74" t="s">
        <v>160</v>
      </c>
      <c r="E74" t="s">
        <v>31</v>
      </c>
      <c r="F74" t="s">
        <v>58</v>
      </c>
      <c r="G74" s="1">
        <v>40</v>
      </c>
    </row>
    <row r="75" spans="1:7">
      <c r="A75" s="1">
        <v>74</v>
      </c>
      <c r="B75" s="1">
        <v>3</v>
      </c>
      <c r="C75" t="s">
        <v>34</v>
      </c>
      <c r="D75" t="s">
        <v>161</v>
      </c>
      <c r="E75" t="s">
        <v>100</v>
      </c>
      <c r="F75" t="s">
        <v>162</v>
      </c>
      <c r="G75" s="1">
        <v>147</v>
      </c>
    </row>
    <row r="76" spans="1:7">
      <c r="A76" s="1">
        <v>75</v>
      </c>
      <c r="B76" s="1">
        <v>3</v>
      </c>
      <c r="C76" t="s">
        <v>40</v>
      </c>
      <c r="D76" t="s">
        <v>163</v>
      </c>
      <c r="E76" t="s">
        <v>31</v>
      </c>
      <c r="F76" t="s">
        <v>164</v>
      </c>
      <c r="G76" s="1">
        <v>90</v>
      </c>
    </row>
    <row r="77" spans="1:7">
      <c r="A77" s="1">
        <v>76</v>
      </c>
      <c r="B77" s="1">
        <v>3</v>
      </c>
      <c r="C77" t="s">
        <v>68</v>
      </c>
      <c r="D77" t="s">
        <v>165</v>
      </c>
      <c r="E77" t="s">
        <v>100</v>
      </c>
      <c r="F77" t="s">
        <v>166</v>
      </c>
      <c r="G77" s="1">
        <v>119</v>
      </c>
    </row>
    <row r="78" spans="1:7">
      <c r="A78" s="1">
        <v>77</v>
      </c>
      <c r="B78" s="1">
        <v>3</v>
      </c>
      <c r="C78" t="s">
        <v>53</v>
      </c>
      <c r="D78" t="s">
        <v>167</v>
      </c>
      <c r="E78" t="s">
        <v>17</v>
      </c>
      <c r="F78" t="s">
        <v>146</v>
      </c>
      <c r="G78" s="1">
        <v>63</v>
      </c>
    </row>
    <row r="79" spans="1:7">
      <c r="A79" s="1">
        <v>78</v>
      </c>
      <c r="B79" s="1">
        <v>3</v>
      </c>
      <c r="C79" t="s">
        <v>119</v>
      </c>
      <c r="D79" t="s">
        <v>168</v>
      </c>
      <c r="E79" t="s">
        <v>31</v>
      </c>
      <c r="F79" t="s">
        <v>169</v>
      </c>
      <c r="G79" s="1">
        <v>73</v>
      </c>
    </row>
    <row r="80" spans="1:7">
      <c r="A80" s="1">
        <v>79</v>
      </c>
      <c r="B80" s="1">
        <v>3</v>
      </c>
      <c r="C80" t="s">
        <v>121</v>
      </c>
      <c r="D80" t="s">
        <v>170</v>
      </c>
      <c r="E80" t="s">
        <v>36</v>
      </c>
      <c r="F80" t="s">
        <v>18</v>
      </c>
      <c r="G80" s="1">
        <v>103</v>
      </c>
    </row>
    <row r="81" spans="1:7">
      <c r="A81" s="1">
        <v>80</v>
      </c>
      <c r="B81" s="1">
        <v>3</v>
      </c>
      <c r="C81" t="s">
        <v>49</v>
      </c>
      <c r="D81" t="s">
        <v>171</v>
      </c>
      <c r="E81" t="s">
        <v>31</v>
      </c>
      <c r="F81" t="s">
        <v>172</v>
      </c>
      <c r="G81" s="1">
        <v>85</v>
      </c>
    </row>
    <row r="82" spans="1:7">
      <c r="A82" s="1">
        <v>81</v>
      </c>
      <c r="B82" s="1">
        <v>3</v>
      </c>
      <c r="C82" t="s">
        <v>134</v>
      </c>
      <c r="D82" t="s">
        <v>173</v>
      </c>
      <c r="E82" t="s">
        <v>100</v>
      </c>
      <c r="F82" t="s">
        <v>77</v>
      </c>
      <c r="G82" s="1">
        <v>109</v>
      </c>
    </row>
    <row r="83" spans="1:7">
      <c r="A83" s="1">
        <v>82</v>
      </c>
      <c r="B83" s="1">
        <v>3</v>
      </c>
      <c r="C83" t="s">
        <v>61</v>
      </c>
      <c r="D83" t="s">
        <v>174</v>
      </c>
      <c r="E83" t="s">
        <v>51</v>
      </c>
      <c r="F83" t="s">
        <v>80</v>
      </c>
      <c r="G83" s="1">
        <v>78</v>
      </c>
    </row>
    <row r="84" spans="1:7">
      <c r="A84" s="1">
        <v>83</v>
      </c>
      <c r="B84" s="1">
        <v>3</v>
      </c>
      <c r="C84" t="s">
        <v>64</v>
      </c>
      <c r="D84" t="s">
        <v>175</v>
      </c>
      <c r="E84" t="s">
        <v>55</v>
      </c>
      <c r="F84" t="s">
        <v>58</v>
      </c>
      <c r="G84" s="1">
        <v>66</v>
      </c>
    </row>
    <row r="85" spans="1:7">
      <c r="A85" s="1">
        <v>84</v>
      </c>
      <c r="B85" s="1">
        <v>3</v>
      </c>
      <c r="C85" t="s">
        <v>128</v>
      </c>
      <c r="D85" t="s">
        <v>176</v>
      </c>
      <c r="E85" t="s">
        <v>36</v>
      </c>
      <c r="F85" t="s">
        <v>58</v>
      </c>
      <c r="G85" s="1">
        <v>114</v>
      </c>
    </row>
    <row r="86" spans="1:7">
      <c r="A86" s="1">
        <v>85</v>
      </c>
      <c r="B86" s="1">
        <v>3</v>
      </c>
      <c r="C86" t="s">
        <v>68</v>
      </c>
      <c r="D86" t="s">
        <v>177</v>
      </c>
      <c r="E86" t="s">
        <v>51</v>
      </c>
      <c r="F86" t="s">
        <v>178</v>
      </c>
      <c r="G86" s="1">
        <v>81</v>
      </c>
    </row>
    <row r="87" spans="1:7">
      <c r="A87" s="1">
        <v>86</v>
      </c>
      <c r="B87" s="1">
        <v>3</v>
      </c>
      <c r="C87" t="s">
        <v>71</v>
      </c>
      <c r="D87" t="s">
        <v>179</v>
      </c>
      <c r="E87" t="s">
        <v>36</v>
      </c>
      <c r="F87" t="s">
        <v>28</v>
      </c>
      <c r="G87" s="1">
        <v>80</v>
      </c>
    </row>
    <row r="88" spans="1:7">
      <c r="A88" s="1">
        <v>87</v>
      </c>
      <c r="B88" s="1">
        <v>3</v>
      </c>
      <c r="C88" t="s">
        <v>40</v>
      </c>
      <c r="D88" t="s">
        <v>180</v>
      </c>
      <c r="E88" t="s">
        <v>39</v>
      </c>
      <c r="F88" t="s">
        <v>112</v>
      </c>
      <c r="G88" s="1">
        <v>86</v>
      </c>
    </row>
    <row r="89" spans="1:7">
      <c r="A89" s="1">
        <v>88</v>
      </c>
      <c r="B89" s="1">
        <v>3</v>
      </c>
      <c r="C89" t="s">
        <v>134</v>
      </c>
      <c r="D89" t="s">
        <v>181</v>
      </c>
      <c r="E89" t="s">
        <v>13</v>
      </c>
      <c r="F89" t="s">
        <v>63</v>
      </c>
      <c r="G89" s="1">
        <v>104</v>
      </c>
    </row>
    <row r="90" spans="1:7">
      <c r="A90" s="1">
        <v>89</v>
      </c>
      <c r="B90" s="1">
        <v>3</v>
      </c>
      <c r="C90" t="s">
        <v>78</v>
      </c>
      <c r="D90" t="s">
        <v>182</v>
      </c>
      <c r="E90" t="s">
        <v>51</v>
      </c>
      <c r="F90" t="s">
        <v>183</v>
      </c>
      <c r="G90" s="1">
        <v>97</v>
      </c>
    </row>
    <row r="91" spans="1:7">
      <c r="A91" s="1">
        <v>90</v>
      </c>
      <c r="B91" s="1">
        <v>3</v>
      </c>
      <c r="C91" t="s">
        <v>40</v>
      </c>
      <c r="D91" t="s">
        <v>184</v>
      </c>
      <c r="E91" t="s">
        <v>13</v>
      </c>
      <c r="F91" t="s">
        <v>14</v>
      </c>
      <c r="G91" s="1">
        <v>107</v>
      </c>
    </row>
    <row r="92" spans="1:7">
      <c r="A92" s="1">
        <v>91</v>
      </c>
      <c r="B92" s="1">
        <v>3</v>
      </c>
      <c r="C92" t="s">
        <v>81</v>
      </c>
      <c r="D92" t="s">
        <v>185</v>
      </c>
      <c r="E92" t="s">
        <v>27</v>
      </c>
      <c r="F92" t="s">
        <v>186</v>
      </c>
      <c r="G92" s="1">
        <v>102</v>
      </c>
    </row>
    <row r="93" spans="1:7">
      <c r="A93" s="1">
        <v>92</v>
      </c>
      <c r="B93" s="1">
        <v>3</v>
      </c>
      <c r="C93" t="s">
        <v>43</v>
      </c>
      <c r="D93" t="s">
        <v>187</v>
      </c>
      <c r="E93" t="s">
        <v>17</v>
      </c>
      <c r="F93" t="s">
        <v>188</v>
      </c>
      <c r="G93" s="1">
        <v>134</v>
      </c>
    </row>
    <row r="94" spans="1:7">
      <c r="A94" s="1">
        <v>93</v>
      </c>
      <c r="B94" s="1">
        <v>3</v>
      </c>
      <c r="C94" t="s">
        <v>46</v>
      </c>
      <c r="D94" t="s">
        <v>189</v>
      </c>
      <c r="E94" t="s">
        <v>9</v>
      </c>
      <c r="F94" t="s">
        <v>37</v>
      </c>
      <c r="G94" s="1">
        <v>113</v>
      </c>
    </row>
    <row r="95" spans="1:7">
      <c r="A95" s="1">
        <v>94</v>
      </c>
      <c r="B95" s="1">
        <v>3</v>
      </c>
      <c r="C95" t="s">
        <v>40</v>
      </c>
      <c r="D95" t="s">
        <v>190</v>
      </c>
      <c r="E95" t="s">
        <v>31</v>
      </c>
      <c r="F95" t="s">
        <v>10</v>
      </c>
      <c r="G95" s="1">
        <v>92</v>
      </c>
    </row>
    <row r="96" spans="1:7">
      <c r="A96" s="1">
        <v>95</v>
      </c>
      <c r="B96" s="1">
        <v>3</v>
      </c>
      <c r="C96" t="s">
        <v>91</v>
      </c>
      <c r="D96" t="s">
        <v>191</v>
      </c>
      <c r="E96" t="s">
        <v>27</v>
      </c>
      <c r="F96" t="s">
        <v>28</v>
      </c>
      <c r="G96" s="1">
        <v>99</v>
      </c>
    </row>
    <row r="97" spans="1:7">
      <c r="A97" s="1">
        <v>96</v>
      </c>
      <c r="B97" s="1">
        <v>3</v>
      </c>
      <c r="C97" t="s">
        <v>93</v>
      </c>
      <c r="D97" t="s">
        <v>192</v>
      </c>
      <c r="E97" t="s">
        <v>36</v>
      </c>
      <c r="F97" t="s">
        <v>136</v>
      </c>
      <c r="G97" s="1">
        <v>71</v>
      </c>
    </row>
    <row r="98" spans="1:7">
      <c r="A98" s="1">
        <v>97</v>
      </c>
      <c r="B98" s="1">
        <v>3</v>
      </c>
      <c r="C98" t="s">
        <v>61</v>
      </c>
      <c r="D98" t="s">
        <v>193</v>
      </c>
      <c r="E98" t="s">
        <v>39</v>
      </c>
      <c r="F98" t="s">
        <v>48</v>
      </c>
      <c r="G98" s="1">
        <v>152</v>
      </c>
    </row>
    <row r="99" spans="1:7">
      <c r="A99" s="1">
        <v>98</v>
      </c>
      <c r="B99" s="1">
        <v>3</v>
      </c>
      <c r="C99" t="s">
        <v>73</v>
      </c>
      <c r="D99" t="s">
        <v>194</v>
      </c>
      <c r="E99" t="s">
        <v>39</v>
      </c>
      <c r="F99" t="s">
        <v>52</v>
      </c>
      <c r="G99" s="1">
        <v>91</v>
      </c>
    </row>
    <row r="100" spans="1:7">
      <c r="A100" s="1">
        <v>99</v>
      </c>
      <c r="B100" s="1">
        <v>3</v>
      </c>
      <c r="C100" t="s">
        <v>68</v>
      </c>
      <c r="D100" t="s">
        <v>195</v>
      </c>
      <c r="E100" t="s">
        <v>9</v>
      </c>
      <c r="F100" t="s">
        <v>28</v>
      </c>
      <c r="G100" s="1">
        <v>111</v>
      </c>
    </row>
    <row r="101" spans="1:7">
      <c r="A101" s="1">
        <v>100</v>
      </c>
      <c r="B101" s="1">
        <v>3</v>
      </c>
      <c r="C101" t="s">
        <v>134</v>
      </c>
      <c r="D101" t="s">
        <v>196</v>
      </c>
      <c r="E101" t="s">
        <v>55</v>
      </c>
      <c r="F101" t="s">
        <v>197</v>
      </c>
      <c r="G101" s="1">
        <v>141</v>
      </c>
    </row>
    <row r="102" spans="1:7">
      <c r="A102" s="1">
        <v>101</v>
      </c>
      <c r="B102" s="1">
        <v>4</v>
      </c>
      <c r="C102" t="s">
        <v>19</v>
      </c>
      <c r="D102" t="s">
        <v>198</v>
      </c>
      <c r="E102" t="s">
        <v>36</v>
      </c>
      <c r="F102" t="s">
        <v>149</v>
      </c>
      <c r="G102" s="1">
        <v>121</v>
      </c>
    </row>
    <row r="103" spans="1:7">
      <c r="A103" s="1">
        <v>102</v>
      </c>
      <c r="B103" s="1">
        <v>4</v>
      </c>
      <c r="C103" t="s">
        <v>7</v>
      </c>
      <c r="D103" t="s">
        <v>199</v>
      </c>
      <c r="E103" t="s">
        <v>39</v>
      </c>
      <c r="F103" t="s">
        <v>138</v>
      </c>
      <c r="G103" s="1">
        <v>108</v>
      </c>
    </row>
    <row r="104" spans="1:7">
      <c r="A104" s="1">
        <v>103</v>
      </c>
      <c r="B104" s="1">
        <v>4</v>
      </c>
      <c r="C104" t="s">
        <v>11</v>
      </c>
      <c r="D104" t="s">
        <v>200</v>
      </c>
      <c r="E104" t="s">
        <v>9</v>
      </c>
      <c r="F104" t="s">
        <v>52</v>
      </c>
      <c r="G104" s="1">
        <v>115</v>
      </c>
    </row>
    <row r="105" spans="1:7">
      <c r="A105" s="1">
        <v>104</v>
      </c>
      <c r="B105" s="1">
        <v>4</v>
      </c>
      <c r="C105" t="s">
        <v>15</v>
      </c>
      <c r="D105" t="s">
        <v>201</v>
      </c>
      <c r="E105" t="s">
        <v>31</v>
      </c>
      <c r="F105" t="s">
        <v>14</v>
      </c>
      <c r="G105" s="1">
        <v>198</v>
      </c>
    </row>
    <row r="106" spans="1:7">
      <c r="A106" s="1">
        <v>105</v>
      </c>
      <c r="B106" s="1">
        <v>4</v>
      </c>
      <c r="C106" t="s">
        <v>23</v>
      </c>
      <c r="D106" t="s">
        <v>202</v>
      </c>
      <c r="E106" t="s">
        <v>51</v>
      </c>
      <c r="F106" t="s">
        <v>118</v>
      </c>
      <c r="G106" s="1">
        <v>116</v>
      </c>
    </row>
    <row r="107" spans="1:7">
      <c r="A107" s="1">
        <v>106</v>
      </c>
      <c r="B107" s="1">
        <v>4</v>
      </c>
      <c r="C107" t="s">
        <v>85</v>
      </c>
      <c r="D107" t="s">
        <v>203</v>
      </c>
      <c r="E107" t="s">
        <v>36</v>
      </c>
      <c r="F107" t="s">
        <v>204</v>
      </c>
      <c r="G107" s="1">
        <v>174</v>
      </c>
    </row>
    <row r="108" spans="1:7">
      <c r="A108" s="1">
        <v>107</v>
      </c>
      <c r="B108" s="1">
        <v>4</v>
      </c>
      <c r="C108" t="s">
        <v>25</v>
      </c>
      <c r="D108" t="s">
        <v>205</v>
      </c>
      <c r="E108" t="s">
        <v>55</v>
      </c>
      <c r="F108" t="s">
        <v>18</v>
      </c>
      <c r="G108" s="1">
        <v>124</v>
      </c>
    </row>
    <row r="109" spans="1:7">
      <c r="A109" s="1">
        <v>108</v>
      </c>
      <c r="B109" s="1">
        <v>4</v>
      </c>
      <c r="C109" t="s">
        <v>144</v>
      </c>
      <c r="D109" t="s">
        <v>206</v>
      </c>
      <c r="E109" t="s">
        <v>36</v>
      </c>
      <c r="F109" t="s">
        <v>56</v>
      </c>
      <c r="G109" s="1">
        <v>171</v>
      </c>
    </row>
    <row r="110" spans="1:7">
      <c r="A110" s="1">
        <v>109</v>
      </c>
      <c r="B110" s="1">
        <v>4</v>
      </c>
      <c r="C110" t="s">
        <v>34</v>
      </c>
      <c r="D110" t="s">
        <v>207</v>
      </c>
      <c r="E110" t="s">
        <v>36</v>
      </c>
      <c r="F110" t="s">
        <v>208</v>
      </c>
      <c r="G110" s="1">
        <v>168</v>
      </c>
    </row>
    <row r="111" spans="1:7">
      <c r="A111" s="1">
        <v>110</v>
      </c>
      <c r="B111" s="1">
        <v>4</v>
      </c>
      <c r="C111" t="s">
        <v>107</v>
      </c>
      <c r="D111" t="s">
        <v>209</v>
      </c>
      <c r="E111" t="s">
        <v>51</v>
      </c>
      <c r="F111" t="s">
        <v>77</v>
      </c>
      <c r="G111" s="1">
        <v>60</v>
      </c>
    </row>
    <row r="112" spans="1:7">
      <c r="A112" s="1">
        <v>111</v>
      </c>
      <c r="B112" s="1">
        <v>4</v>
      </c>
      <c r="C112" t="s">
        <v>144</v>
      </c>
      <c r="D112" t="s">
        <v>210</v>
      </c>
      <c r="E112" t="s">
        <v>21</v>
      </c>
      <c r="F112" t="s">
        <v>77</v>
      </c>
      <c r="G112" s="1">
        <v>206</v>
      </c>
    </row>
    <row r="113" spans="1:7">
      <c r="A113" s="1">
        <v>112</v>
      </c>
      <c r="B113" s="1">
        <v>4</v>
      </c>
      <c r="C113" t="s">
        <v>43</v>
      </c>
      <c r="D113" t="s">
        <v>211</v>
      </c>
      <c r="E113" t="s">
        <v>27</v>
      </c>
      <c r="F113" t="s">
        <v>212</v>
      </c>
      <c r="G113" s="1">
        <v>95</v>
      </c>
    </row>
    <row r="114" spans="1:7">
      <c r="A114" s="1">
        <v>113</v>
      </c>
      <c r="B114" s="1">
        <v>4</v>
      </c>
      <c r="C114" t="s">
        <v>119</v>
      </c>
      <c r="D114" t="s">
        <v>213</v>
      </c>
      <c r="E114" t="s">
        <v>13</v>
      </c>
      <c r="F114" t="s">
        <v>214</v>
      </c>
      <c r="G114" s="1">
        <v>324</v>
      </c>
    </row>
    <row r="115" spans="1:7">
      <c r="A115" s="1">
        <v>114</v>
      </c>
      <c r="B115" s="1">
        <v>4</v>
      </c>
      <c r="C115" t="s">
        <v>73</v>
      </c>
      <c r="D115" t="s">
        <v>215</v>
      </c>
      <c r="E115" t="s">
        <v>27</v>
      </c>
      <c r="F115" t="s">
        <v>216</v>
      </c>
      <c r="G115" s="1">
        <v>157</v>
      </c>
    </row>
    <row r="116" spans="1:7">
      <c r="A116" s="1">
        <v>115</v>
      </c>
      <c r="B116" s="1">
        <v>4</v>
      </c>
      <c r="C116" t="s">
        <v>49</v>
      </c>
      <c r="D116" t="s">
        <v>217</v>
      </c>
      <c r="E116" t="s">
        <v>13</v>
      </c>
      <c r="F116" t="s">
        <v>77</v>
      </c>
      <c r="G116" s="1">
        <v>51</v>
      </c>
    </row>
    <row r="117" spans="1:7">
      <c r="A117" s="1">
        <v>116</v>
      </c>
      <c r="B117" s="1">
        <v>4</v>
      </c>
      <c r="C117" t="s">
        <v>53</v>
      </c>
      <c r="D117" t="s">
        <v>218</v>
      </c>
      <c r="E117" t="s">
        <v>27</v>
      </c>
      <c r="F117" t="s">
        <v>77</v>
      </c>
      <c r="G117" s="1">
        <v>94</v>
      </c>
    </row>
    <row r="118" spans="1:7">
      <c r="A118" s="1">
        <v>117</v>
      </c>
      <c r="B118" s="1">
        <v>4</v>
      </c>
      <c r="C118" t="s">
        <v>7</v>
      </c>
      <c r="D118" t="s">
        <v>219</v>
      </c>
      <c r="E118" t="s">
        <v>31</v>
      </c>
      <c r="F118" t="s">
        <v>63</v>
      </c>
      <c r="G118" s="1">
        <v>64</v>
      </c>
    </row>
    <row r="119" spans="1:7">
      <c r="A119" s="1">
        <v>118</v>
      </c>
      <c r="B119" s="1">
        <v>4</v>
      </c>
      <c r="C119" t="s">
        <v>59</v>
      </c>
      <c r="D119" t="s">
        <v>220</v>
      </c>
      <c r="E119" t="s">
        <v>100</v>
      </c>
      <c r="F119" t="s">
        <v>80</v>
      </c>
      <c r="G119" s="1">
        <v>340</v>
      </c>
    </row>
    <row r="120" spans="1:7">
      <c r="A120" s="1">
        <v>119</v>
      </c>
      <c r="B120" s="1">
        <v>4</v>
      </c>
      <c r="C120" t="s">
        <v>64</v>
      </c>
      <c r="D120" t="s">
        <v>221</v>
      </c>
      <c r="E120" t="s">
        <v>55</v>
      </c>
      <c r="F120" t="s">
        <v>222</v>
      </c>
      <c r="G120" s="1">
        <v>105</v>
      </c>
    </row>
    <row r="121" spans="1:7">
      <c r="A121" s="1">
        <v>120</v>
      </c>
      <c r="B121" s="1">
        <v>4</v>
      </c>
      <c r="C121" t="s">
        <v>128</v>
      </c>
      <c r="D121" t="s">
        <v>223</v>
      </c>
      <c r="E121" t="s">
        <v>13</v>
      </c>
      <c r="F121" t="s">
        <v>224</v>
      </c>
      <c r="G121" s="1">
        <v>265</v>
      </c>
    </row>
    <row r="122" spans="1:7">
      <c r="A122" s="1">
        <v>121</v>
      </c>
      <c r="B122" s="1">
        <v>4</v>
      </c>
      <c r="C122" t="s">
        <v>68</v>
      </c>
      <c r="D122" t="s">
        <v>225</v>
      </c>
      <c r="E122" t="s">
        <v>31</v>
      </c>
      <c r="F122" t="s">
        <v>146</v>
      </c>
      <c r="G122" s="1">
        <v>172</v>
      </c>
    </row>
    <row r="123" spans="1:7">
      <c r="A123" s="1">
        <v>122</v>
      </c>
      <c r="B123" s="1">
        <v>4</v>
      </c>
      <c r="C123" t="s">
        <v>121</v>
      </c>
      <c r="D123" t="s">
        <v>226</v>
      </c>
      <c r="E123" t="s">
        <v>31</v>
      </c>
      <c r="F123" t="s">
        <v>227</v>
      </c>
      <c r="G123" s="1">
        <v>74</v>
      </c>
    </row>
    <row r="124" spans="1:7">
      <c r="A124" s="1">
        <v>123</v>
      </c>
      <c r="B124" s="1">
        <v>4</v>
      </c>
      <c r="C124" t="s">
        <v>71</v>
      </c>
      <c r="D124" t="s">
        <v>228</v>
      </c>
      <c r="E124" t="s">
        <v>31</v>
      </c>
      <c r="F124" t="s">
        <v>10</v>
      </c>
      <c r="G124" s="1">
        <v>35</v>
      </c>
    </row>
    <row r="125" spans="1:7">
      <c r="A125" s="1">
        <v>124</v>
      </c>
      <c r="B125" s="1">
        <v>4</v>
      </c>
      <c r="C125" t="s">
        <v>134</v>
      </c>
      <c r="D125" t="s">
        <v>229</v>
      </c>
      <c r="E125" t="s">
        <v>51</v>
      </c>
      <c r="F125" t="s">
        <v>70</v>
      </c>
      <c r="G125" s="1">
        <v>187</v>
      </c>
    </row>
    <row r="126" spans="1:7">
      <c r="A126" s="1">
        <v>125</v>
      </c>
      <c r="B126" s="1">
        <v>4</v>
      </c>
      <c r="C126" t="s">
        <v>91</v>
      </c>
      <c r="D126" t="s">
        <v>230</v>
      </c>
      <c r="E126" t="s">
        <v>13</v>
      </c>
      <c r="F126" t="s">
        <v>231</v>
      </c>
      <c r="G126" s="1">
        <v>140</v>
      </c>
    </row>
    <row r="127" spans="1:7">
      <c r="A127" s="1">
        <v>126</v>
      </c>
      <c r="B127" s="1">
        <v>4</v>
      </c>
      <c r="C127" t="s">
        <v>81</v>
      </c>
      <c r="D127" t="s">
        <v>232</v>
      </c>
      <c r="E127" t="s">
        <v>31</v>
      </c>
      <c r="F127" t="s">
        <v>56</v>
      </c>
      <c r="G127" s="1">
        <v>227</v>
      </c>
    </row>
    <row r="128" spans="1:7">
      <c r="A128" s="1">
        <v>127</v>
      </c>
      <c r="B128" s="1">
        <v>4</v>
      </c>
      <c r="C128" t="s">
        <v>83</v>
      </c>
      <c r="D128" t="s">
        <v>233</v>
      </c>
      <c r="E128" t="s">
        <v>13</v>
      </c>
      <c r="F128" t="s">
        <v>10</v>
      </c>
      <c r="G128" s="1">
        <v>219</v>
      </c>
    </row>
    <row r="129" spans="1:7">
      <c r="A129" s="1">
        <v>128</v>
      </c>
      <c r="B129" s="1">
        <v>4</v>
      </c>
      <c r="C129" t="s">
        <v>59</v>
      </c>
      <c r="D129" t="s">
        <v>234</v>
      </c>
      <c r="E129" t="s">
        <v>13</v>
      </c>
      <c r="F129" t="s">
        <v>116</v>
      </c>
      <c r="G129" s="1">
        <v>201</v>
      </c>
    </row>
    <row r="130" spans="1:7">
      <c r="A130" s="1">
        <v>129</v>
      </c>
      <c r="B130" s="1">
        <v>4</v>
      </c>
      <c r="C130" t="s">
        <v>78</v>
      </c>
      <c r="D130" t="s">
        <v>235</v>
      </c>
      <c r="E130" t="s">
        <v>39</v>
      </c>
      <c r="F130" t="s">
        <v>136</v>
      </c>
      <c r="G130" s="1">
        <v>169</v>
      </c>
    </row>
    <row r="131" spans="1:7">
      <c r="A131" s="1">
        <v>130</v>
      </c>
      <c r="B131" s="1">
        <v>4</v>
      </c>
      <c r="C131" t="s">
        <v>40</v>
      </c>
      <c r="D131" t="s">
        <v>236</v>
      </c>
      <c r="E131" t="s">
        <v>31</v>
      </c>
      <c r="F131" t="s">
        <v>146</v>
      </c>
      <c r="G131" s="1">
        <v>143</v>
      </c>
    </row>
    <row r="132" spans="1:7">
      <c r="A132" s="1">
        <v>131</v>
      </c>
      <c r="B132" s="1">
        <v>4</v>
      </c>
      <c r="C132" t="s">
        <v>91</v>
      </c>
      <c r="D132" t="s">
        <v>237</v>
      </c>
      <c r="E132" t="s">
        <v>36</v>
      </c>
      <c r="F132" t="s">
        <v>77</v>
      </c>
      <c r="G132" s="1">
        <v>144</v>
      </c>
    </row>
    <row r="133" spans="1:7">
      <c r="A133" s="1">
        <v>132</v>
      </c>
      <c r="B133" s="1">
        <v>4</v>
      </c>
      <c r="C133" t="s">
        <v>32</v>
      </c>
      <c r="D133" t="s">
        <v>238</v>
      </c>
      <c r="E133" t="s">
        <v>13</v>
      </c>
      <c r="F133" t="s">
        <v>70</v>
      </c>
      <c r="G133" s="1">
        <v>110</v>
      </c>
    </row>
    <row r="134" spans="1:7">
      <c r="A134" s="1">
        <v>133</v>
      </c>
      <c r="B134" s="1">
        <v>4</v>
      </c>
      <c r="C134" t="s">
        <v>83</v>
      </c>
      <c r="D134" t="s">
        <v>239</v>
      </c>
      <c r="E134" t="s">
        <v>27</v>
      </c>
      <c r="F134" t="s">
        <v>88</v>
      </c>
      <c r="G134" s="1">
        <v>208</v>
      </c>
    </row>
    <row r="135" spans="1:7">
      <c r="A135" s="1">
        <v>134</v>
      </c>
      <c r="B135" s="1">
        <v>4</v>
      </c>
      <c r="C135" t="s">
        <v>7</v>
      </c>
      <c r="D135" t="s">
        <v>240</v>
      </c>
      <c r="E135" t="s">
        <v>27</v>
      </c>
      <c r="F135" t="s">
        <v>77</v>
      </c>
      <c r="G135" s="1">
        <v>149</v>
      </c>
    </row>
    <row r="136" spans="1:7">
      <c r="A136" s="1">
        <v>135</v>
      </c>
      <c r="B136" s="1">
        <v>4</v>
      </c>
      <c r="C136" t="s">
        <v>68</v>
      </c>
      <c r="D136" t="s">
        <v>241</v>
      </c>
      <c r="E136" t="s">
        <v>31</v>
      </c>
      <c r="F136" t="s">
        <v>178</v>
      </c>
      <c r="G136" s="1">
        <v>195</v>
      </c>
    </row>
    <row r="137" spans="1:7">
      <c r="A137" s="1">
        <v>136</v>
      </c>
      <c r="B137" s="1">
        <v>4</v>
      </c>
      <c r="C137" t="s">
        <v>32</v>
      </c>
      <c r="D137" t="s">
        <v>242</v>
      </c>
      <c r="E137" t="s">
        <v>31</v>
      </c>
      <c r="F137" t="s">
        <v>96</v>
      </c>
      <c r="G137" s="1">
        <v>216</v>
      </c>
    </row>
    <row r="138" spans="1:7">
      <c r="A138" s="1">
        <v>137</v>
      </c>
      <c r="B138" s="1">
        <v>4</v>
      </c>
      <c r="C138" t="s">
        <v>73</v>
      </c>
      <c r="D138" t="s">
        <v>243</v>
      </c>
      <c r="E138" t="s">
        <v>27</v>
      </c>
      <c r="F138" t="s">
        <v>56</v>
      </c>
      <c r="G138" s="1">
        <v>166</v>
      </c>
    </row>
    <row r="139" spans="1:7">
      <c r="A139" s="1">
        <v>138</v>
      </c>
      <c r="B139" s="1">
        <v>4</v>
      </c>
      <c r="C139" t="s">
        <v>83</v>
      </c>
      <c r="D139" t="s">
        <v>244</v>
      </c>
      <c r="E139" t="s">
        <v>31</v>
      </c>
      <c r="F139" t="s">
        <v>58</v>
      </c>
      <c r="G139" s="1">
        <v>137</v>
      </c>
    </row>
    <row r="140" spans="1:7">
      <c r="A140" s="1">
        <v>139</v>
      </c>
      <c r="B140" s="1">
        <v>4</v>
      </c>
      <c r="C140" t="s">
        <v>83</v>
      </c>
      <c r="D140" t="s">
        <v>245</v>
      </c>
      <c r="E140" t="s">
        <v>27</v>
      </c>
      <c r="F140" t="s">
        <v>56</v>
      </c>
      <c r="G140" s="1">
        <v>245</v>
      </c>
    </row>
    <row r="141" spans="1:7">
      <c r="A141" s="1">
        <v>140</v>
      </c>
      <c r="B141" s="1">
        <v>4</v>
      </c>
      <c r="C141" t="s">
        <v>11</v>
      </c>
      <c r="D141" t="s">
        <v>246</v>
      </c>
      <c r="E141" t="s">
        <v>13</v>
      </c>
      <c r="F141" t="s">
        <v>63</v>
      </c>
      <c r="G141" s="1">
        <v>327</v>
      </c>
    </row>
    <row r="142" spans="1:7">
      <c r="A142" s="1">
        <v>141</v>
      </c>
      <c r="B142" s="1">
        <v>5</v>
      </c>
      <c r="C142" t="s">
        <v>85</v>
      </c>
      <c r="D142" t="s">
        <v>247</v>
      </c>
      <c r="E142" t="s">
        <v>51</v>
      </c>
      <c r="F142" t="s">
        <v>22</v>
      </c>
      <c r="G142" s="1">
        <v>158</v>
      </c>
    </row>
    <row r="143" spans="1:7">
      <c r="A143" s="1">
        <v>142</v>
      </c>
      <c r="B143" s="1">
        <v>5</v>
      </c>
      <c r="C143" t="s">
        <v>19</v>
      </c>
      <c r="D143" t="s">
        <v>248</v>
      </c>
      <c r="E143" t="s">
        <v>31</v>
      </c>
      <c r="F143" t="s">
        <v>37</v>
      </c>
      <c r="G143" s="1">
        <v>710</v>
      </c>
    </row>
    <row r="144" spans="1:7">
      <c r="A144" s="1">
        <v>143</v>
      </c>
      <c r="B144" s="1">
        <v>5</v>
      </c>
      <c r="C144" t="s">
        <v>15</v>
      </c>
      <c r="D144" t="s">
        <v>249</v>
      </c>
      <c r="E144" t="s">
        <v>21</v>
      </c>
      <c r="F144" t="s">
        <v>66</v>
      </c>
      <c r="G144" s="1">
        <v>181</v>
      </c>
    </row>
    <row r="145" spans="1:7">
      <c r="A145" s="1">
        <v>144</v>
      </c>
      <c r="B145" s="1">
        <v>5</v>
      </c>
      <c r="C145" t="s">
        <v>19</v>
      </c>
      <c r="D145" t="s">
        <v>250</v>
      </c>
      <c r="E145" t="s">
        <v>31</v>
      </c>
      <c r="F145" t="s">
        <v>14</v>
      </c>
      <c r="G145" s="1">
        <v>148</v>
      </c>
    </row>
    <row r="146" spans="1:7">
      <c r="A146" s="1">
        <v>145</v>
      </c>
      <c r="B146" s="1">
        <v>5</v>
      </c>
      <c r="C146" t="s">
        <v>23</v>
      </c>
      <c r="D146" t="s">
        <v>251</v>
      </c>
      <c r="E146" t="s">
        <v>36</v>
      </c>
      <c r="F146" t="s">
        <v>88</v>
      </c>
      <c r="G146" s="1">
        <v>98</v>
      </c>
    </row>
    <row r="147" spans="1:7">
      <c r="A147" s="1">
        <v>146</v>
      </c>
      <c r="B147" s="1">
        <v>5</v>
      </c>
      <c r="C147" t="s">
        <v>25</v>
      </c>
      <c r="D147" t="s">
        <v>252</v>
      </c>
      <c r="E147" t="s">
        <v>31</v>
      </c>
      <c r="F147" t="s">
        <v>253</v>
      </c>
      <c r="G147" s="1">
        <v>217</v>
      </c>
    </row>
    <row r="148" spans="1:7">
      <c r="A148" s="1">
        <v>147</v>
      </c>
      <c r="B148" s="1">
        <v>5</v>
      </c>
      <c r="C148" t="s">
        <v>29</v>
      </c>
      <c r="D148" t="s">
        <v>254</v>
      </c>
      <c r="E148" t="s">
        <v>51</v>
      </c>
      <c r="F148" t="s">
        <v>255</v>
      </c>
      <c r="G148" s="1">
        <v>279</v>
      </c>
    </row>
    <row r="149" spans="1:7">
      <c r="A149" s="1">
        <v>148</v>
      </c>
      <c r="B149" s="1">
        <v>5</v>
      </c>
      <c r="C149" t="s">
        <v>34</v>
      </c>
      <c r="D149" t="s">
        <v>256</v>
      </c>
      <c r="E149" t="s">
        <v>31</v>
      </c>
      <c r="F149" t="s">
        <v>28</v>
      </c>
      <c r="G149" s="1">
        <v>243</v>
      </c>
    </row>
    <row r="150" spans="1:7">
      <c r="A150" s="1">
        <v>149</v>
      </c>
      <c r="B150" s="1">
        <v>5</v>
      </c>
      <c r="C150" t="s">
        <v>25</v>
      </c>
      <c r="D150" t="s">
        <v>257</v>
      </c>
      <c r="E150" t="s">
        <v>17</v>
      </c>
      <c r="F150" t="s">
        <v>258</v>
      </c>
      <c r="G150" s="1">
        <v>182</v>
      </c>
    </row>
    <row r="151" spans="1:7">
      <c r="A151" s="1">
        <v>150</v>
      </c>
      <c r="B151" s="1">
        <v>5</v>
      </c>
      <c r="C151" t="s">
        <v>32</v>
      </c>
      <c r="D151" t="s">
        <v>259</v>
      </c>
      <c r="E151" t="s">
        <v>36</v>
      </c>
      <c r="F151" t="s">
        <v>88</v>
      </c>
      <c r="G151" s="1">
        <v>161</v>
      </c>
    </row>
    <row r="152" spans="1:7">
      <c r="A152" s="1">
        <v>151</v>
      </c>
      <c r="B152" s="1">
        <v>5</v>
      </c>
      <c r="C152" t="s">
        <v>40</v>
      </c>
      <c r="D152" t="s">
        <v>260</v>
      </c>
      <c r="E152" t="s">
        <v>13</v>
      </c>
      <c r="F152" t="s">
        <v>48</v>
      </c>
      <c r="G152" s="1">
        <v>159</v>
      </c>
    </row>
    <row r="153" spans="1:7">
      <c r="A153" s="1">
        <v>152</v>
      </c>
      <c r="B153" s="1">
        <v>5</v>
      </c>
      <c r="C153" t="s">
        <v>43</v>
      </c>
      <c r="D153" t="s">
        <v>261</v>
      </c>
      <c r="E153" t="s">
        <v>36</v>
      </c>
      <c r="F153" t="s">
        <v>262</v>
      </c>
      <c r="G153" s="1">
        <v>260</v>
      </c>
    </row>
    <row r="154" spans="1:7">
      <c r="A154" s="1">
        <v>153</v>
      </c>
      <c r="B154" s="1">
        <v>5</v>
      </c>
      <c r="C154" t="s">
        <v>128</v>
      </c>
      <c r="D154" t="s">
        <v>263</v>
      </c>
      <c r="E154" t="s">
        <v>13</v>
      </c>
      <c r="F154" t="s">
        <v>98</v>
      </c>
      <c r="G154" s="1">
        <v>304</v>
      </c>
    </row>
    <row r="155" spans="1:7">
      <c r="A155" s="1">
        <v>154</v>
      </c>
      <c r="B155" s="1">
        <v>5</v>
      </c>
      <c r="C155" t="s">
        <v>49</v>
      </c>
      <c r="D155" t="s">
        <v>264</v>
      </c>
      <c r="E155" t="s">
        <v>100</v>
      </c>
      <c r="F155" t="s">
        <v>104</v>
      </c>
      <c r="G155" s="1">
        <v>118</v>
      </c>
    </row>
    <row r="156" spans="1:7">
      <c r="A156" s="1">
        <v>155</v>
      </c>
      <c r="B156" s="1">
        <v>5</v>
      </c>
      <c r="C156" t="s">
        <v>53</v>
      </c>
      <c r="D156" t="s">
        <v>265</v>
      </c>
      <c r="E156" t="s">
        <v>13</v>
      </c>
      <c r="F156" t="s">
        <v>18</v>
      </c>
      <c r="G156" s="1">
        <v>135</v>
      </c>
    </row>
    <row r="157" spans="1:7">
      <c r="A157" s="1">
        <v>156</v>
      </c>
      <c r="B157" s="1">
        <v>5</v>
      </c>
      <c r="C157" t="s">
        <v>119</v>
      </c>
      <c r="D157" t="s">
        <v>266</v>
      </c>
      <c r="E157" t="s">
        <v>31</v>
      </c>
      <c r="F157" t="s">
        <v>183</v>
      </c>
      <c r="G157" s="1">
        <v>631</v>
      </c>
    </row>
    <row r="158" spans="1:7">
      <c r="A158" s="1">
        <v>157</v>
      </c>
      <c r="B158" s="1">
        <v>5</v>
      </c>
      <c r="C158" t="s">
        <v>59</v>
      </c>
      <c r="D158" t="s">
        <v>267</v>
      </c>
      <c r="E158" t="s">
        <v>55</v>
      </c>
      <c r="F158" t="s">
        <v>262</v>
      </c>
      <c r="G158" s="1">
        <v>193</v>
      </c>
    </row>
    <row r="159" spans="1:7">
      <c r="A159" s="1">
        <v>158</v>
      </c>
      <c r="B159" s="1">
        <v>5</v>
      </c>
      <c r="C159" t="s">
        <v>64</v>
      </c>
      <c r="D159" t="s">
        <v>268</v>
      </c>
      <c r="E159" t="s">
        <v>39</v>
      </c>
      <c r="F159" t="s">
        <v>28</v>
      </c>
      <c r="G159" s="1">
        <v>178</v>
      </c>
    </row>
    <row r="160" spans="1:7">
      <c r="A160" s="1">
        <v>159</v>
      </c>
      <c r="B160" s="1">
        <v>5</v>
      </c>
      <c r="C160" t="s">
        <v>64</v>
      </c>
      <c r="D160" t="s">
        <v>269</v>
      </c>
      <c r="E160" t="s">
        <v>13</v>
      </c>
      <c r="F160" t="s">
        <v>270</v>
      </c>
      <c r="G160" s="1">
        <v>189</v>
      </c>
    </row>
    <row r="161" spans="1:7">
      <c r="A161" s="1">
        <v>160</v>
      </c>
      <c r="B161" s="1">
        <v>5</v>
      </c>
      <c r="C161" t="s">
        <v>128</v>
      </c>
      <c r="D161" t="s">
        <v>271</v>
      </c>
      <c r="E161" t="s">
        <v>27</v>
      </c>
      <c r="F161" t="s">
        <v>18</v>
      </c>
      <c r="G161" s="1">
        <v>655</v>
      </c>
    </row>
    <row r="162" spans="1:7">
      <c r="A162" s="1">
        <v>161</v>
      </c>
      <c r="B162" s="1">
        <v>5</v>
      </c>
      <c r="C162" t="s">
        <v>68</v>
      </c>
      <c r="D162" t="s">
        <v>272</v>
      </c>
      <c r="E162" t="s">
        <v>17</v>
      </c>
      <c r="F162" t="s">
        <v>37</v>
      </c>
      <c r="G162" s="1">
        <v>128</v>
      </c>
    </row>
    <row r="163" spans="1:7">
      <c r="A163" s="1">
        <v>162</v>
      </c>
      <c r="B163" s="1">
        <v>5</v>
      </c>
      <c r="C163" t="s">
        <v>49</v>
      </c>
      <c r="D163" t="s">
        <v>273</v>
      </c>
      <c r="E163" t="s">
        <v>36</v>
      </c>
      <c r="F163" t="s">
        <v>212</v>
      </c>
      <c r="G163" s="1">
        <v>84</v>
      </c>
    </row>
    <row r="164" spans="1:7">
      <c r="A164" s="1">
        <v>163</v>
      </c>
      <c r="B164" s="1">
        <v>5</v>
      </c>
      <c r="C164" t="s">
        <v>61</v>
      </c>
      <c r="D164" t="s">
        <v>274</v>
      </c>
      <c r="E164" t="s">
        <v>39</v>
      </c>
      <c r="F164" t="s">
        <v>14</v>
      </c>
      <c r="G164" s="1">
        <v>230</v>
      </c>
    </row>
    <row r="165" spans="1:7">
      <c r="A165" s="1">
        <v>164</v>
      </c>
      <c r="B165" s="1">
        <v>5</v>
      </c>
      <c r="C165" t="s">
        <v>134</v>
      </c>
      <c r="D165" t="s">
        <v>275</v>
      </c>
      <c r="E165" t="s">
        <v>39</v>
      </c>
      <c r="F165" t="s">
        <v>10</v>
      </c>
      <c r="G165" s="1">
        <v>205</v>
      </c>
    </row>
    <row r="166" spans="1:7">
      <c r="A166" s="1">
        <v>165</v>
      </c>
      <c r="B166" s="1">
        <v>5</v>
      </c>
      <c r="C166" t="s">
        <v>81</v>
      </c>
      <c r="D166" t="s">
        <v>276</v>
      </c>
      <c r="E166" t="s">
        <v>27</v>
      </c>
      <c r="F166" t="s">
        <v>277</v>
      </c>
      <c r="G166" s="1">
        <v>698</v>
      </c>
    </row>
    <row r="167" spans="1:7">
      <c r="A167" s="1">
        <v>166</v>
      </c>
      <c r="B167" s="1">
        <v>5</v>
      </c>
      <c r="C167" t="s">
        <v>134</v>
      </c>
      <c r="D167" t="s">
        <v>278</v>
      </c>
      <c r="E167" t="s">
        <v>36</v>
      </c>
      <c r="F167" t="s">
        <v>222</v>
      </c>
      <c r="G167" s="1">
        <v>218</v>
      </c>
    </row>
    <row r="168" spans="1:7">
      <c r="A168" s="1">
        <v>167</v>
      </c>
      <c r="B168" s="1">
        <v>5</v>
      </c>
      <c r="C168" t="s">
        <v>85</v>
      </c>
      <c r="D168" t="s">
        <v>279</v>
      </c>
      <c r="E168" t="s">
        <v>21</v>
      </c>
      <c r="F168" t="s">
        <v>10</v>
      </c>
      <c r="G168" s="1">
        <v>202</v>
      </c>
    </row>
    <row r="169" spans="1:7">
      <c r="A169" s="1">
        <v>168</v>
      </c>
      <c r="B169" s="1">
        <v>5</v>
      </c>
      <c r="C169" t="s">
        <v>81</v>
      </c>
      <c r="D169" t="s">
        <v>280</v>
      </c>
      <c r="E169" t="s">
        <v>17</v>
      </c>
      <c r="F169" t="s">
        <v>149</v>
      </c>
      <c r="G169" s="1">
        <v>286</v>
      </c>
    </row>
    <row r="170" spans="1:7">
      <c r="A170" s="1">
        <v>169</v>
      </c>
      <c r="B170" s="1">
        <v>5</v>
      </c>
      <c r="C170" t="s">
        <v>34</v>
      </c>
      <c r="D170" t="s">
        <v>281</v>
      </c>
      <c r="E170" t="s">
        <v>100</v>
      </c>
      <c r="F170" t="s">
        <v>154</v>
      </c>
      <c r="G170" s="1">
        <v>224</v>
      </c>
    </row>
    <row r="171" spans="1:7">
      <c r="A171" s="1">
        <v>170</v>
      </c>
      <c r="B171" s="1">
        <v>5</v>
      </c>
      <c r="C171" t="s">
        <v>144</v>
      </c>
      <c r="D171" t="s">
        <v>282</v>
      </c>
      <c r="E171" t="s">
        <v>100</v>
      </c>
      <c r="F171" t="s">
        <v>112</v>
      </c>
      <c r="G171" s="1">
        <v>120</v>
      </c>
    </row>
    <row r="172" spans="1:7">
      <c r="A172" s="1">
        <v>171</v>
      </c>
      <c r="B172" s="1">
        <v>5</v>
      </c>
      <c r="C172" t="s">
        <v>91</v>
      </c>
      <c r="D172" t="s">
        <v>283</v>
      </c>
      <c r="E172" t="s">
        <v>55</v>
      </c>
      <c r="F172" t="s">
        <v>136</v>
      </c>
      <c r="G172" s="1">
        <v>165</v>
      </c>
    </row>
    <row r="173" spans="1:7">
      <c r="A173" s="1">
        <v>172</v>
      </c>
      <c r="B173" s="1">
        <v>5</v>
      </c>
      <c r="C173" t="s">
        <v>32</v>
      </c>
      <c r="D173" t="s">
        <v>284</v>
      </c>
      <c r="E173" t="s">
        <v>13</v>
      </c>
      <c r="F173" t="s">
        <v>96</v>
      </c>
      <c r="G173" s="1">
        <v>163</v>
      </c>
    </row>
    <row r="174" spans="1:7">
      <c r="A174" s="1">
        <v>173</v>
      </c>
      <c r="B174" s="1">
        <v>5</v>
      </c>
      <c r="C174" t="s">
        <v>49</v>
      </c>
      <c r="D174" t="s">
        <v>285</v>
      </c>
      <c r="E174" t="s">
        <v>13</v>
      </c>
      <c r="F174" t="s">
        <v>116</v>
      </c>
      <c r="G174" s="1">
        <v>192</v>
      </c>
    </row>
    <row r="175" spans="1:7">
      <c r="A175" s="1">
        <v>174</v>
      </c>
      <c r="B175" s="1">
        <v>5</v>
      </c>
      <c r="C175" t="s">
        <v>49</v>
      </c>
      <c r="D175" t="s">
        <v>286</v>
      </c>
      <c r="E175" t="s">
        <v>27</v>
      </c>
      <c r="F175" t="s">
        <v>287</v>
      </c>
      <c r="G175" s="1">
        <v>106</v>
      </c>
    </row>
    <row r="176" spans="1:7">
      <c r="A176" s="1">
        <v>175</v>
      </c>
      <c r="B176" s="1">
        <v>5</v>
      </c>
      <c r="C176" t="s">
        <v>7</v>
      </c>
      <c r="D176" t="s">
        <v>288</v>
      </c>
      <c r="E176" t="s">
        <v>51</v>
      </c>
      <c r="F176" t="s">
        <v>10</v>
      </c>
      <c r="G176" s="1">
        <v>204</v>
      </c>
    </row>
    <row r="177" spans="1:7">
      <c r="A177" s="1">
        <v>176</v>
      </c>
      <c r="B177" s="1">
        <v>5</v>
      </c>
      <c r="C177" t="s">
        <v>34</v>
      </c>
      <c r="D177" t="s">
        <v>289</v>
      </c>
      <c r="E177" t="s">
        <v>13</v>
      </c>
      <c r="F177" t="s">
        <v>136</v>
      </c>
      <c r="G177" s="1">
        <v>214</v>
      </c>
    </row>
    <row r="178" spans="1:7">
      <c r="A178" s="1">
        <v>177</v>
      </c>
      <c r="B178" s="1">
        <v>5</v>
      </c>
      <c r="C178" t="s">
        <v>43</v>
      </c>
      <c r="D178" t="s">
        <v>290</v>
      </c>
      <c r="E178" t="s">
        <v>100</v>
      </c>
      <c r="F178" t="s">
        <v>126</v>
      </c>
      <c r="G178" s="1">
        <v>160</v>
      </c>
    </row>
    <row r="179" spans="1:7">
      <c r="A179" s="1">
        <v>178</v>
      </c>
      <c r="B179" s="1">
        <v>5</v>
      </c>
      <c r="C179" t="s">
        <v>73</v>
      </c>
      <c r="D179" t="s">
        <v>291</v>
      </c>
      <c r="E179" t="s">
        <v>13</v>
      </c>
      <c r="F179" t="s">
        <v>212</v>
      </c>
      <c r="G179" s="1">
        <v>229</v>
      </c>
    </row>
    <row r="180" spans="1:7">
      <c r="A180" s="1">
        <v>179</v>
      </c>
      <c r="B180" s="1">
        <v>5</v>
      </c>
      <c r="C180" t="s">
        <v>11</v>
      </c>
      <c r="D180" t="s">
        <v>292</v>
      </c>
      <c r="E180" t="s">
        <v>13</v>
      </c>
      <c r="F180" t="s">
        <v>222</v>
      </c>
      <c r="G180" s="1">
        <v>362</v>
      </c>
    </row>
    <row r="181" spans="1:7">
      <c r="A181" s="1">
        <v>180</v>
      </c>
      <c r="B181" s="1">
        <v>5</v>
      </c>
      <c r="C181" t="s">
        <v>43</v>
      </c>
      <c r="D181" t="s">
        <v>293</v>
      </c>
      <c r="E181" t="s">
        <v>51</v>
      </c>
      <c r="F181" t="s">
        <v>96</v>
      </c>
      <c r="G181" s="1">
        <v>87</v>
      </c>
    </row>
    <row r="182" spans="1:7">
      <c r="A182" s="1">
        <v>181</v>
      </c>
      <c r="B182" s="1">
        <v>5</v>
      </c>
      <c r="C182" t="s">
        <v>59</v>
      </c>
      <c r="D182" t="s">
        <v>294</v>
      </c>
      <c r="E182" t="s">
        <v>36</v>
      </c>
      <c r="F182" t="s">
        <v>75</v>
      </c>
      <c r="G182" s="1">
        <v>228</v>
      </c>
    </row>
    <row r="183" spans="1:7">
      <c r="A183" s="1">
        <v>182</v>
      </c>
      <c r="B183" s="1">
        <v>6</v>
      </c>
      <c r="C183" t="s">
        <v>81</v>
      </c>
      <c r="D183" t="s">
        <v>295</v>
      </c>
      <c r="E183" t="s">
        <v>31</v>
      </c>
      <c r="F183" t="s">
        <v>116</v>
      </c>
      <c r="G183" s="1">
        <v>246</v>
      </c>
    </row>
    <row r="184" spans="1:7">
      <c r="A184" s="1">
        <v>183</v>
      </c>
      <c r="B184" s="1">
        <v>6</v>
      </c>
      <c r="C184" t="s">
        <v>15</v>
      </c>
      <c r="D184" t="s">
        <v>296</v>
      </c>
      <c r="E184" t="s">
        <v>31</v>
      </c>
      <c r="F184" t="s">
        <v>37</v>
      </c>
      <c r="G184" s="1">
        <v>255</v>
      </c>
    </row>
    <row r="185" spans="1:7">
      <c r="A185" s="1">
        <v>184</v>
      </c>
      <c r="B185" s="1">
        <v>6</v>
      </c>
      <c r="C185" t="s">
        <v>19</v>
      </c>
      <c r="D185" t="s">
        <v>297</v>
      </c>
      <c r="E185" t="s">
        <v>51</v>
      </c>
      <c r="F185" t="s">
        <v>28</v>
      </c>
      <c r="G185" s="1">
        <v>322</v>
      </c>
    </row>
    <row r="186" spans="1:7">
      <c r="A186" s="1">
        <v>185</v>
      </c>
      <c r="B186" s="1">
        <v>6</v>
      </c>
      <c r="C186" t="s">
        <v>7</v>
      </c>
      <c r="D186" t="s">
        <v>298</v>
      </c>
      <c r="E186" t="s">
        <v>27</v>
      </c>
      <c r="F186" t="s">
        <v>22</v>
      </c>
      <c r="G186" s="1">
        <v>213</v>
      </c>
    </row>
    <row r="187" spans="1:7">
      <c r="A187" s="1">
        <v>186</v>
      </c>
      <c r="B187" s="1">
        <v>6</v>
      </c>
      <c r="C187" t="s">
        <v>23</v>
      </c>
      <c r="D187" t="s">
        <v>299</v>
      </c>
      <c r="E187" t="s">
        <v>13</v>
      </c>
      <c r="F187" t="s">
        <v>45</v>
      </c>
      <c r="G187" s="1">
        <v>231</v>
      </c>
    </row>
    <row r="188" spans="1:7">
      <c r="A188" s="1">
        <v>187</v>
      </c>
      <c r="B188" s="1">
        <v>6</v>
      </c>
      <c r="C188" t="s">
        <v>29</v>
      </c>
      <c r="D188" t="s">
        <v>300</v>
      </c>
      <c r="E188" t="s">
        <v>31</v>
      </c>
      <c r="F188" t="s">
        <v>114</v>
      </c>
      <c r="G188" s="1">
        <v>268</v>
      </c>
    </row>
    <row r="189" spans="1:7">
      <c r="A189" s="1">
        <v>188</v>
      </c>
      <c r="B189" s="1">
        <v>6</v>
      </c>
      <c r="C189" t="s">
        <v>93</v>
      </c>
      <c r="D189" t="s">
        <v>301</v>
      </c>
      <c r="E189" t="s">
        <v>13</v>
      </c>
      <c r="F189" t="s">
        <v>302</v>
      </c>
      <c r="G189" s="1">
        <v>313</v>
      </c>
    </row>
    <row r="190" spans="1:7">
      <c r="A190" s="1">
        <v>189</v>
      </c>
      <c r="B190" s="1">
        <v>6</v>
      </c>
      <c r="C190" t="s">
        <v>107</v>
      </c>
      <c r="D190" t="s">
        <v>303</v>
      </c>
      <c r="E190" t="s">
        <v>21</v>
      </c>
      <c r="F190" t="s">
        <v>88</v>
      </c>
      <c r="G190" s="1">
        <v>151</v>
      </c>
    </row>
    <row r="191" spans="1:7">
      <c r="A191" s="1">
        <v>190</v>
      </c>
      <c r="B191" s="1">
        <v>6</v>
      </c>
      <c r="C191" t="s">
        <v>32</v>
      </c>
      <c r="D191" t="s">
        <v>304</v>
      </c>
      <c r="E191" t="s">
        <v>39</v>
      </c>
      <c r="F191" t="s">
        <v>118</v>
      </c>
      <c r="G191" s="1">
        <v>207</v>
      </c>
    </row>
    <row r="192" spans="1:7">
      <c r="A192" s="1">
        <v>191</v>
      </c>
      <c r="B192" s="1">
        <v>6</v>
      </c>
      <c r="C192" t="s">
        <v>91</v>
      </c>
      <c r="D192" t="s">
        <v>305</v>
      </c>
      <c r="E192" t="s">
        <v>13</v>
      </c>
      <c r="F192" t="s">
        <v>216</v>
      </c>
      <c r="G192" s="1">
        <v>234</v>
      </c>
    </row>
    <row r="193" spans="1:7">
      <c r="A193" s="1">
        <v>192</v>
      </c>
      <c r="B193" s="1">
        <v>6</v>
      </c>
      <c r="C193" t="s">
        <v>23</v>
      </c>
      <c r="D193" t="s">
        <v>306</v>
      </c>
      <c r="E193" t="s">
        <v>51</v>
      </c>
      <c r="F193" t="s">
        <v>216</v>
      </c>
      <c r="G193" s="1">
        <v>233</v>
      </c>
    </row>
    <row r="194" spans="1:7">
      <c r="A194" s="1">
        <v>193</v>
      </c>
      <c r="B194" s="1">
        <v>6</v>
      </c>
      <c r="C194" t="s">
        <v>23</v>
      </c>
      <c r="D194" t="s">
        <v>307</v>
      </c>
      <c r="E194" t="s">
        <v>27</v>
      </c>
      <c r="F194" t="s">
        <v>110</v>
      </c>
      <c r="G194" s="1">
        <v>175</v>
      </c>
    </row>
    <row r="195" spans="1:7">
      <c r="A195" s="1">
        <v>194</v>
      </c>
      <c r="B195" s="1">
        <v>6</v>
      </c>
      <c r="C195" t="s">
        <v>19</v>
      </c>
      <c r="D195" t="s">
        <v>308</v>
      </c>
      <c r="E195" t="s">
        <v>36</v>
      </c>
      <c r="F195" t="s">
        <v>70</v>
      </c>
      <c r="G195" s="1">
        <v>197</v>
      </c>
    </row>
    <row r="196" spans="1:7">
      <c r="A196" s="1">
        <v>195</v>
      </c>
      <c r="B196" s="1">
        <v>6</v>
      </c>
      <c r="C196" t="s">
        <v>53</v>
      </c>
      <c r="D196" t="s">
        <v>309</v>
      </c>
      <c r="E196" t="s">
        <v>36</v>
      </c>
      <c r="F196" t="s">
        <v>255</v>
      </c>
      <c r="G196" s="1">
        <v>203</v>
      </c>
    </row>
    <row r="197" spans="1:7">
      <c r="A197" s="1">
        <v>196</v>
      </c>
      <c r="B197" s="1">
        <v>6</v>
      </c>
      <c r="C197" t="s">
        <v>61</v>
      </c>
      <c r="D197" t="s">
        <v>310</v>
      </c>
      <c r="E197" t="s">
        <v>100</v>
      </c>
      <c r="F197" t="s">
        <v>212</v>
      </c>
      <c r="G197" s="1">
        <v>146</v>
      </c>
    </row>
    <row r="198" spans="1:7">
      <c r="A198" s="1">
        <v>197</v>
      </c>
      <c r="B198" s="1">
        <v>6</v>
      </c>
      <c r="C198" t="s">
        <v>73</v>
      </c>
      <c r="D198" t="s">
        <v>311</v>
      </c>
      <c r="E198" t="s">
        <v>36</v>
      </c>
      <c r="F198" t="s">
        <v>312</v>
      </c>
      <c r="G198" s="1">
        <v>211</v>
      </c>
    </row>
    <row r="199" spans="1:7">
      <c r="A199" s="1">
        <v>198</v>
      </c>
      <c r="B199" s="1">
        <v>6</v>
      </c>
      <c r="C199" t="s">
        <v>91</v>
      </c>
      <c r="D199" t="s">
        <v>313</v>
      </c>
      <c r="E199" t="s">
        <v>39</v>
      </c>
      <c r="F199" t="s">
        <v>314</v>
      </c>
      <c r="G199" s="1">
        <v>661</v>
      </c>
    </row>
    <row r="200" spans="1:7">
      <c r="A200" s="1">
        <v>199</v>
      </c>
      <c r="B200" s="1">
        <v>6</v>
      </c>
      <c r="C200" t="s">
        <v>107</v>
      </c>
      <c r="D200" t="s">
        <v>315</v>
      </c>
      <c r="E200" t="s">
        <v>39</v>
      </c>
      <c r="F200" t="s">
        <v>169</v>
      </c>
      <c r="G200" s="1">
        <v>512</v>
      </c>
    </row>
    <row r="201" spans="1:7">
      <c r="A201" s="1">
        <v>200</v>
      </c>
      <c r="B201" s="1">
        <v>6</v>
      </c>
      <c r="C201" t="s">
        <v>64</v>
      </c>
      <c r="D201" t="s">
        <v>316</v>
      </c>
      <c r="E201" t="s">
        <v>39</v>
      </c>
      <c r="F201" t="s">
        <v>138</v>
      </c>
      <c r="G201" s="1">
        <v>220</v>
      </c>
    </row>
    <row r="202" spans="1:7">
      <c r="A202" s="1">
        <v>201</v>
      </c>
      <c r="B202" s="1">
        <v>6</v>
      </c>
      <c r="C202" t="s">
        <v>128</v>
      </c>
      <c r="D202" t="s">
        <v>317</v>
      </c>
      <c r="E202" t="s">
        <v>36</v>
      </c>
      <c r="F202" t="s">
        <v>18</v>
      </c>
      <c r="G202" s="1">
        <v>225</v>
      </c>
    </row>
    <row r="203" spans="1:7">
      <c r="A203" s="1">
        <v>202</v>
      </c>
      <c r="B203" s="1">
        <v>6</v>
      </c>
      <c r="C203" t="s">
        <v>91</v>
      </c>
      <c r="D203" t="s">
        <v>318</v>
      </c>
      <c r="E203" t="s">
        <v>100</v>
      </c>
      <c r="F203" t="s">
        <v>253</v>
      </c>
      <c r="G203" s="1">
        <v>200</v>
      </c>
    </row>
    <row r="204" spans="1:7">
      <c r="A204" s="1">
        <v>203</v>
      </c>
      <c r="B204" s="1">
        <v>6</v>
      </c>
      <c r="C204" t="s">
        <v>134</v>
      </c>
      <c r="D204" t="s">
        <v>319</v>
      </c>
      <c r="E204" t="s">
        <v>27</v>
      </c>
      <c r="F204" t="s">
        <v>52</v>
      </c>
      <c r="G204" s="1">
        <v>142</v>
      </c>
    </row>
    <row r="205" spans="1:7">
      <c r="A205" s="1">
        <v>204</v>
      </c>
      <c r="B205" s="1">
        <v>6</v>
      </c>
      <c r="C205" t="s">
        <v>71</v>
      </c>
      <c r="D205" t="s">
        <v>320</v>
      </c>
      <c r="E205" t="s">
        <v>13</v>
      </c>
      <c r="F205" t="s">
        <v>37</v>
      </c>
      <c r="G205" s="1">
        <v>276</v>
      </c>
    </row>
    <row r="206" spans="1:7">
      <c r="A206" s="1">
        <v>205</v>
      </c>
      <c r="B206" s="1">
        <v>6</v>
      </c>
      <c r="C206" t="s">
        <v>59</v>
      </c>
      <c r="D206" t="s">
        <v>321</v>
      </c>
      <c r="E206" t="s">
        <v>27</v>
      </c>
      <c r="F206" t="s">
        <v>322</v>
      </c>
      <c r="G206" s="1">
        <v>235</v>
      </c>
    </row>
    <row r="207" spans="1:7">
      <c r="A207" s="1">
        <v>206</v>
      </c>
      <c r="B207" s="1">
        <v>6</v>
      </c>
      <c r="C207" t="s">
        <v>25</v>
      </c>
      <c r="D207" t="s">
        <v>323</v>
      </c>
      <c r="E207" t="s">
        <v>9</v>
      </c>
      <c r="F207" t="s">
        <v>132</v>
      </c>
      <c r="G207" s="1">
        <v>298</v>
      </c>
    </row>
    <row r="208" spans="1:7">
      <c r="A208" s="1">
        <v>207</v>
      </c>
      <c r="B208" s="1">
        <v>6</v>
      </c>
      <c r="C208" t="s">
        <v>46</v>
      </c>
      <c r="D208" t="s">
        <v>324</v>
      </c>
      <c r="E208" t="s">
        <v>31</v>
      </c>
      <c r="F208" t="s">
        <v>37</v>
      </c>
      <c r="G208" s="1">
        <v>251</v>
      </c>
    </row>
    <row r="209" spans="1:7">
      <c r="A209" s="1">
        <v>208</v>
      </c>
      <c r="B209" s="1">
        <v>6</v>
      </c>
      <c r="C209" t="s">
        <v>7</v>
      </c>
      <c r="D209" t="s">
        <v>325</v>
      </c>
      <c r="E209" t="s">
        <v>27</v>
      </c>
      <c r="F209" t="s">
        <v>52</v>
      </c>
      <c r="G209" s="1">
        <v>252</v>
      </c>
    </row>
    <row r="210" spans="1:7">
      <c r="A210" s="1">
        <v>209</v>
      </c>
      <c r="B210" s="1">
        <v>6</v>
      </c>
      <c r="C210" t="s">
        <v>29</v>
      </c>
      <c r="D210" t="s">
        <v>326</v>
      </c>
      <c r="E210" t="s">
        <v>55</v>
      </c>
      <c r="F210" t="s">
        <v>45</v>
      </c>
      <c r="G210" s="1">
        <v>194</v>
      </c>
    </row>
    <row r="211" spans="1:7">
      <c r="A211" s="1">
        <v>210</v>
      </c>
      <c r="B211" s="1">
        <v>6</v>
      </c>
      <c r="C211" t="s">
        <v>34</v>
      </c>
      <c r="D211" t="s">
        <v>327</v>
      </c>
      <c r="E211" t="s">
        <v>17</v>
      </c>
      <c r="F211" t="s">
        <v>328</v>
      </c>
      <c r="G211" s="1">
        <v>277</v>
      </c>
    </row>
    <row r="212" spans="1:7">
      <c r="A212" s="1">
        <v>211</v>
      </c>
      <c r="B212" s="1">
        <v>6</v>
      </c>
      <c r="C212" t="s">
        <v>49</v>
      </c>
      <c r="D212" t="s">
        <v>329</v>
      </c>
      <c r="E212" t="s">
        <v>36</v>
      </c>
      <c r="F212" t="s">
        <v>197</v>
      </c>
      <c r="G212" s="1">
        <v>232</v>
      </c>
    </row>
    <row r="213" spans="1:7">
      <c r="A213" s="1">
        <v>212</v>
      </c>
      <c r="B213" s="1">
        <v>6</v>
      </c>
      <c r="C213" t="s">
        <v>91</v>
      </c>
      <c r="D213" t="s">
        <v>330</v>
      </c>
      <c r="E213" t="s">
        <v>31</v>
      </c>
      <c r="F213" t="s">
        <v>331</v>
      </c>
      <c r="G213" s="1">
        <v>253</v>
      </c>
    </row>
    <row r="214" spans="1:7">
      <c r="A214" s="1">
        <v>213</v>
      </c>
      <c r="B214" s="1">
        <v>6</v>
      </c>
      <c r="C214" t="s">
        <v>59</v>
      </c>
      <c r="D214" t="s">
        <v>332</v>
      </c>
      <c r="E214" t="s">
        <v>51</v>
      </c>
      <c r="F214" t="s">
        <v>314</v>
      </c>
      <c r="G214" s="1">
        <v>190</v>
      </c>
    </row>
    <row r="215" spans="1:7">
      <c r="A215" s="1">
        <v>214</v>
      </c>
      <c r="B215" s="1">
        <v>6</v>
      </c>
      <c r="C215" t="s">
        <v>119</v>
      </c>
      <c r="D215" t="s">
        <v>333</v>
      </c>
      <c r="E215" t="s">
        <v>39</v>
      </c>
      <c r="F215" t="s">
        <v>118</v>
      </c>
      <c r="G215" s="1">
        <v>244</v>
      </c>
    </row>
    <row r="216" spans="1:7">
      <c r="A216" s="1">
        <v>215</v>
      </c>
      <c r="B216" s="1">
        <v>6</v>
      </c>
      <c r="C216" t="s">
        <v>121</v>
      </c>
      <c r="D216" t="s">
        <v>334</v>
      </c>
      <c r="E216" t="s">
        <v>13</v>
      </c>
      <c r="F216" t="s">
        <v>77</v>
      </c>
      <c r="G216" s="1">
        <v>282</v>
      </c>
    </row>
    <row r="217" spans="1:7">
      <c r="A217" s="1">
        <v>216</v>
      </c>
      <c r="B217" s="1">
        <v>6</v>
      </c>
      <c r="C217" t="s">
        <v>68</v>
      </c>
      <c r="D217" t="s">
        <v>335</v>
      </c>
      <c r="E217" t="s">
        <v>55</v>
      </c>
      <c r="F217" t="s">
        <v>126</v>
      </c>
      <c r="G217" s="1">
        <v>179</v>
      </c>
    </row>
    <row r="218" spans="1:7">
      <c r="A218" s="1">
        <v>217</v>
      </c>
      <c r="B218" s="1">
        <v>7</v>
      </c>
      <c r="C218" t="s">
        <v>15</v>
      </c>
      <c r="D218" t="s">
        <v>336</v>
      </c>
      <c r="E218" t="s">
        <v>21</v>
      </c>
      <c r="F218" t="s">
        <v>70</v>
      </c>
      <c r="G218" s="1">
        <v>262</v>
      </c>
    </row>
    <row r="219" spans="1:7">
      <c r="A219" s="1">
        <v>218</v>
      </c>
      <c r="B219" s="1">
        <v>7</v>
      </c>
      <c r="C219" t="s">
        <v>43</v>
      </c>
      <c r="D219" t="s">
        <v>337</v>
      </c>
      <c r="E219" t="s">
        <v>13</v>
      </c>
      <c r="F219" t="s">
        <v>136</v>
      </c>
      <c r="G219" s="1">
        <v>288</v>
      </c>
    </row>
    <row r="220" spans="1:7">
      <c r="A220" s="1">
        <v>219</v>
      </c>
      <c r="B220" s="1">
        <v>7</v>
      </c>
      <c r="C220" t="s">
        <v>7</v>
      </c>
      <c r="D220" t="s">
        <v>338</v>
      </c>
      <c r="E220" t="s">
        <v>31</v>
      </c>
      <c r="F220" t="s">
        <v>188</v>
      </c>
      <c r="G220" s="1">
        <v>270</v>
      </c>
    </row>
    <row r="221" spans="1:7">
      <c r="A221" s="1">
        <v>220</v>
      </c>
      <c r="B221" s="1">
        <v>7</v>
      </c>
      <c r="C221" t="s">
        <v>81</v>
      </c>
      <c r="D221" t="s">
        <v>339</v>
      </c>
      <c r="E221" t="s">
        <v>36</v>
      </c>
      <c r="F221" t="s">
        <v>340</v>
      </c>
      <c r="G221" s="1">
        <v>602</v>
      </c>
    </row>
    <row r="222" spans="1:7">
      <c r="A222" s="1">
        <v>221</v>
      </c>
      <c r="B222" s="1">
        <v>7</v>
      </c>
      <c r="C222" t="s">
        <v>107</v>
      </c>
      <c r="D222" t="s">
        <v>341</v>
      </c>
      <c r="E222" t="s">
        <v>27</v>
      </c>
      <c r="F222" t="s">
        <v>66</v>
      </c>
      <c r="G222" s="1">
        <v>651</v>
      </c>
    </row>
    <row r="223" spans="1:7">
      <c r="A223" s="1">
        <v>222</v>
      </c>
      <c r="B223" s="1">
        <v>7</v>
      </c>
      <c r="C223" t="s">
        <v>59</v>
      </c>
      <c r="D223" t="s">
        <v>342</v>
      </c>
      <c r="E223" t="s">
        <v>100</v>
      </c>
      <c r="F223" t="s">
        <v>14</v>
      </c>
      <c r="G223" s="1">
        <v>238</v>
      </c>
    </row>
    <row r="224" spans="1:7">
      <c r="A224" s="1">
        <v>223</v>
      </c>
      <c r="B224" s="1">
        <v>7</v>
      </c>
      <c r="C224" t="s">
        <v>29</v>
      </c>
      <c r="D224" t="s">
        <v>343</v>
      </c>
      <c r="E224" t="s">
        <v>100</v>
      </c>
      <c r="F224" t="s">
        <v>114</v>
      </c>
      <c r="G224" s="1">
        <v>240</v>
      </c>
    </row>
    <row r="225" spans="1:7">
      <c r="A225" s="1">
        <v>224</v>
      </c>
      <c r="B225" s="1">
        <v>7</v>
      </c>
      <c r="C225" t="s">
        <v>68</v>
      </c>
      <c r="D225" t="s">
        <v>344</v>
      </c>
      <c r="E225" t="s">
        <v>31</v>
      </c>
      <c r="F225" t="s">
        <v>169</v>
      </c>
      <c r="G225" s="1">
        <v>280</v>
      </c>
    </row>
    <row r="226" spans="1:7">
      <c r="A226" s="1">
        <v>225</v>
      </c>
      <c r="B226" s="1">
        <v>7</v>
      </c>
      <c r="C226" t="s">
        <v>19</v>
      </c>
      <c r="D226" t="s">
        <v>345</v>
      </c>
      <c r="E226" t="s">
        <v>39</v>
      </c>
      <c r="F226" t="s">
        <v>346</v>
      </c>
      <c r="G226" s="1">
        <v>264</v>
      </c>
    </row>
    <row r="227" spans="1:7">
      <c r="A227" s="1">
        <v>226</v>
      </c>
      <c r="B227" s="1">
        <v>7</v>
      </c>
      <c r="C227" t="s">
        <v>107</v>
      </c>
      <c r="D227" t="s">
        <v>347</v>
      </c>
      <c r="E227" t="s">
        <v>39</v>
      </c>
      <c r="F227" t="s">
        <v>348</v>
      </c>
      <c r="G227" s="1">
        <v>566</v>
      </c>
    </row>
    <row r="228" spans="1:7">
      <c r="A228" s="1">
        <v>227</v>
      </c>
      <c r="B228" s="1">
        <v>7</v>
      </c>
      <c r="C228" t="s">
        <v>40</v>
      </c>
      <c r="D228" t="s">
        <v>349</v>
      </c>
      <c r="E228" t="s">
        <v>31</v>
      </c>
      <c r="F228" t="s">
        <v>350</v>
      </c>
      <c r="G228" s="1">
        <v>305</v>
      </c>
    </row>
    <row r="229" spans="1:7">
      <c r="A229" s="1">
        <v>228</v>
      </c>
      <c r="B229" s="1">
        <v>7</v>
      </c>
      <c r="C229" t="s">
        <v>11</v>
      </c>
      <c r="D229" t="s">
        <v>351</v>
      </c>
      <c r="E229" t="s">
        <v>9</v>
      </c>
      <c r="F229" t="s">
        <v>172</v>
      </c>
      <c r="G229" s="1">
        <v>258</v>
      </c>
    </row>
    <row r="230" spans="1:7">
      <c r="A230" s="1">
        <v>229</v>
      </c>
      <c r="B230" s="1">
        <v>7</v>
      </c>
      <c r="C230" t="s">
        <v>53</v>
      </c>
      <c r="D230" t="s">
        <v>352</v>
      </c>
      <c r="E230" t="s">
        <v>55</v>
      </c>
      <c r="F230" t="s">
        <v>37</v>
      </c>
      <c r="G230" s="1">
        <v>314</v>
      </c>
    </row>
    <row r="231" spans="1:7">
      <c r="A231" s="1">
        <v>230</v>
      </c>
      <c r="B231" s="1">
        <v>7</v>
      </c>
      <c r="C231" t="s">
        <v>68</v>
      </c>
      <c r="D231" t="s">
        <v>353</v>
      </c>
      <c r="E231" t="s">
        <v>31</v>
      </c>
      <c r="F231" t="s">
        <v>258</v>
      </c>
      <c r="G231" s="1">
        <v>290</v>
      </c>
    </row>
    <row r="232" spans="1:7">
      <c r="A232" s="1">
        <v>231</v>
      </c>
      <c r="B232" s="1">
        <v>7</v>
      </c>
      <c r="C232" t="s">
        <v>121</v>
      </c>
      <c r="D232" t="s">
        <v>354</v>
      </c>
      <c r="E232" t="s">
        <v>36</v>
      </c>
      <c r="F232" t="s">
        <v>75</v>
      </c>
      <c r="G232" s="1">
        <v>263</v>
      </c>
    </row>
    <row r="233" spans="1:7">
      <c r="A233" s="1">
        <v>232</v>
      </c>
      <c r="B233" s="1">
        <v>7</v>
      </c>
      <c r="C233" t="s">
        <v>46</v>
      </c>
      <c r="D233" t="s">
        <v>355</v>
      </c>
      <c r="E233" t="s">
        <v>31</v>
      </c>
      <c r="F233" t="s">
        <v>216</v>
      </c>
      <c r="G233" s="1">
        <v>293</v>
      </c>
    </row>
    <row r="234" spans="1:7">
      <c r="A234" s="1">
        <v>233</v>
      </c>
      <c r="B234" s="1">
        <v>7</v>
      </c>
      <c r="C234" t="s">
        <v>134</v>
      </c>
      <c r="D234" t="s">
        <v>356</v>
      </c>
      <c r="E234" t="s">
        <v>13</v>
      </c>
      <c r="F234" t="s">
        <v>152</v>
      </c>
      <c r="G234" s="1">
        <v>289</v>
      </c>
    </row>
    <row r="235" spans="1:7">
      <c r="A235" s="1">
        <v>234</v>
      </c>
      <c r="B235" s="1">
        <v>7</v>
      </c>
      <c r="C235" t="s">
        <v>61</v>
      </c>
      <c r="D235" t="s">
        <v>357</v>
      </c>
      <c r="E235" t="s">
        <v>51</v>
      </c>
      <c r="F235" t="s">
        <v>136</v>
      </c>
      <c r="G235" s="1">
        <v>237</v>
      </c>
    </row>
    <row r="236" spans="1:7">
      <c r="A236" s="1">
        <v>235</v>
      </c>
      <c r="B236" s="1">
        <v>7</v>
      </c>
      <c r="C236" t="s">
        <v>61</v>
      </c>
      <c r="D236" t="s">
        <v>358</v>
      </c>
      <c r="E236" t="s">
        <v>100</v>
      </c>
      <c r="F236" t="s">
        <v>178</v>
      </c>
      <c r="G236" s="1">
        <v>247</v>
      </c>
    </row>
    <row r="237" spans="1:7">
      <c r="A237" s="1">
        <v>236</v>
      </c>
      <c r="B237" s="1">
        <v>7</v>
      </c>
      <c r="C237" t="s">
        <v>128</v>
      </c>
      <c r="D237" t="s">
        <v>359</v>
      </c>
      <c r="E237" t="s">
        <v>36</v>
      </c>
      <c r="F237" t="s">
        <v>104</v>
      </c>
      <c r="G237" s="1">
        <v>256</v>
      </c>
    </row>
    <row r="238" spans="1:7">
      <c r="A238" s="1">
        <v>237</v>
      </c>
      <c r="B238" s="1">
        <v>7</v>
      </c>
      <c r="C238" t="s">
        <v>68</v>
      </c>
      <c r="D238" t="s">
        <v>360</v>
      </c>
      <c r="E238" t="s">
        <v>31</v>
      </c>
      <c r="F238" t="s">
        <v>361</v>
      </c>
      <c r="G238" s="1">
        <v>301</v>
      </c>
    </row>
    <row r="239" spans="1:7">
      <c r="A239" s="1">
        <v>238</v>
      </c>
      <c r="B239" s="1">
        <v>7</v>
      </c>
      <c r="C239" t="s">
        <v>40</v>
      </c>
      <c r="D239" t="s">
        <v>362</v>
      </c>
      <c r="E239" t="s">
        <v>36</v>
      </c>
      <c r="F239" t="s">
        <v>114</v>
      </c>
      <c r="G239" s="1">
        <v>281</v>
      </c>
    </row>
    <row r="240" spans="1:7">
      <c r="A240" s="1">
        <v>239</v>
      </c>
      <c r="B240" s="1">
        <v>7</v>
      </c>
      <c r="C240" t="s">
        <v>78</v>
      </c>
      <c r="D240" t="s">
        <v>363</v>
      </c>
      <c r="E240" t="s">
        <v>100</v>
      </c>
      <c r="F240" t="s">
        <v>88</v>
      </c>
      <c r="G240" s="1">
        <v>326</v>
      </c>
    </row>
    <row r="241" spans="1:7">
      <c r="A241" s="1">
        <v>240</v>
      </c>
      <c r="B241" s="1">
        <v>7</v>
      </c>
      <c r="C241" t="s">
        <v>134</v>
      </c>
      <c r="D241" t="s">
        <v>364</v>
      </c>
      <c r="E241" t="s">
        <v>27</v>
      </c>
      <c r="F241" t="s">
        <v>361</v>
      </c>
      <c r="G241" s="1">
        <v>266</v>
      </c>
    </row>
    <row r="242" spans="1:7">
      <c r="A242" s="1">
        <v>241</v>
      </c>
      <c r="B242" s="1">
        <v>7</v>
      </c>
      <c r="C242" t="s">
        <v>78</v>
      </c>
      <c r="D242" t="s">
        <v>365</v>
      </c>
      <c r="E242" t="s">
        <v>13</v>
      </c>
      <c r="F242" t="s">
        <v>37</v>
      </c>
      <c r="G242" s="1">
        <v>300</v>
      </c>
    </row>
    <row r="243" spans="1:7">
      <c r="A243" s="1">
        <v>242</v>
      </c>
      <c r="B243" s="1">
        <v>7</v>
      </c>
      <c r="C243" t="s">
        <v>11</v>
      </c>
      <c r="D243" t="s">
        <v>366</v>
      </c>
      <c r="E243" t="s">
        <v>51</v>
      </c>
      <c r="F243" t="s">
        <v>52</v>
      </c>
      <c r="G243" s="1">
        <v>349</v>
      </c>
    </row>
    <row r="244" spans="1:7">
      <c r="A244" s="1">
        <v>243</v>
      </c>
      <c r="B244" s="1">
        <v>7</v>
      </c>
      <c r="C244" t="s">
        <v>85</v>
      </c>
      <c r="D244" t="s">
        <v>367</v>
      </c>
      <c r="E244" t="s">
        <v>39</v>
      </c>
      <c r="F244" t="s">
        <v>368</v>
      </c>
      <c r="G244" s="1">
        <v>533</v>
      </c>
    </row>
    <row r="245" spans="1:7">
      <c r="A245" s="1">
        <v>244</v>
      </c>
      <c r="B245" s="1">
        <v>7</v>
      </c>
      <c r="C245" t="s">
        <v>61</v>
      </c>
      <c r="D245" t="s">
        <v>369</v>
      </c>
      <c r="E245" t="s">
        <v>100</v>
      </c>
      <c r="F245" t="s">
        <v>63</v>
      </c>
      <c r="G245" s="1">
        <v>248</v>
      </c>
    </row>
    <row r="246" spans="1:7">
      <c r="A246" s="1">
        <v>245</v>
      </c>
      <c r="B246" s="1">
        <v>7</v>
      </c>
      <c r="C246" t="s">
        <v>134</v>
      </c>
      <c r="D246" t="s">
        <v>370</v>
      </c>
      <c r="E246" t="s">
        <v>31</v>
      </c>
      <c r="F246" t="s">
        <v>37</v>
      </c>
      <c r="G246" s="1">
        <v>312</v>
      </c>
    </row>
    <row r="247" spans="1:7">
      <c r="A247" s="1">
        <v>246</v>
      </c>
      <c r="B247" s="1">
        <v>7</v>
      </c>
      <c r="C247" t="s">
        <v>144</v>
      </c>
      <c r="D247" t="s">
        <v>371</v>
      </c>
      <c r="E247" t="s">
        <v>17</v>
      </c>
      <c r="F247" t="s">
        <v>66</v>
      </c>
      <c r="G247" s="1">
        <v>284</v>
      </c>
    </row>
    <row r="248" spans="1:7">
      <c r="A248" s="1">
        <v>247</v>
      </c>
      <c r="B248" s="1">
        <v>7</v>
      </c>
      <c r="C248" t="s">
        <v>91</v>
      </c>
      <c r="D248" t="s">
        <v>372</v>
      </c>
      <c r="E248" t="s">
        <v>27</v>
      </c>
      <c r="F248" t="s">
        <v>162</v>
      </c>
      <c r="G248" s="1">
        <v>287</v>
      </c>
    </row>
    <row r="249" spans="1:7">
      <c r="A249" s="1">
        <v>248</v>
      </c>
      <c r="B249" s="1">
        <v>7</v>
      </c>
      <c r="C249" t="s">
        <v>25</v>
      </c>
      <c r="D249" t="s">
        <v>373</v>
      </c>
      <c r="E249" t="s">
        <v>21</v>
      </c>
      <c r="F249" t="s">
        <v>152</v>
      </c>
      <c r="G249" s="1">
        <v>707</v>
      </c>
    </row>
    <row r="250" spans="1:7">
      <c r="A250" s="1">
        <v>249</v>
      </c>
      <c r="B250" s="1">
        <v>7</v>
      </c>
      <c r="C250" t="s">
        <v>119</v>
      </c>
      <c r="D250" t="s">
        <v>374</v>
      </c>
      <c r="E250" t="s">
        <v>17</v>
      </c>
      <c r="F250" t="s">
        <v>48</v>
      </c>
      <c r="G250" s="1">
        <v>241</v>
      </c>
    </row>
    <row r="251" spans="1:7">
      <c r="A251" s="1">
        <v>250</v>
      </c>
      <c r="B251" s="1">
        <v>7</v>
      </c>
      <c r="C251" t="s">
        <v>49</v>
      </c>
      <c r="D251" t="s">
        <v>375</v>
      </c>
      <c r="E251" t="s">
        <v>39</v>
      </c>
      <c r="F251" t="s">
        <v>96</v>
      </c>
      <c r="G251" s="1">
        <v>271</v>
      </c>
    </row>
    <row r="252" spans="1:7">
      <c r="A252" s="1">
        <v>251</v>
      </c>
      <c r="B252" s="1">
        <v>7</v>
      </c>
      <c r="C252" t="s">
        <v>46</v>
      </c>
      <c r="D252" t="s">
        <v>376</v>
      </c>
      <c r="E252" t="s">
        <v>31</v>
      </c>
      <c r="F252" t="s">
        <v>58</v>
      </c>
      <c r="G252" s="1">
        <v>320</v>
      </c>
    </row>
    <row r="253" spans="1:7">
      <c r="A253" s="1">
        <v>252</v>
      </c>
      <c r="B253" s="1">
        <v>7</v>
      </c>
      <c r="C253" t="s">
        <v>46</v>
      </c>
      <c r="D253" t="s">
        <v>377</v>
      </c>
      <c r="E253" t="s">
        <v>31</v>
      </c>
      <c r="F253" t="s">
        <v>231</v>
      </c>
      <c r="G253" s="1">
        <v>333</v>
      </c>
    </row>
    <row r="254" spans="1:7">
      <c r="A254" s="1">
        <v>253</v>
      </c>
      <c r="B254" s="1">
        <v>7</v>
      </c>
      <c r="C254" t="s">
        <v>49</v>
      </c>
      <c r="D254" t="s">
        <v>378</v>
      </c>
      <c r="E254" t="s">
        <v>13</v>
      </c>
      <c r="F254" t="s">
        <v>112</v>
      </c>
      <c r="G254" s="1">
        <v>323</v>
      </c>
    </row>
    <row r="255" spans="1:7">
      <c r="A255" s="1">
        <v>254</v>
      </c>
      <c r="B255" s="1">
        <v>7</v>
      </c>
      <c r="C255" t="s">
        <v>119</v>
      </c>
      <c r="D255" t="s">
        <v>379</v>
      </c>
      <c r="E255" t="s">
        <v>13</v>
      </c>
      <c r="F255" t="s">
        <v>88</v>
      </c>
      <c r="G255" s="1">
        <v>325</v>
      </c>
    </row>
    <row r="256" spans="1:7">
      <c r="A256" s="1">
        <v>255</v>
      </c>
      <c r="B256" s="1">
        <v>7</v>
      </c>
      <c r="C256" t="s">
        <v>128</v>
      </c>
      <c r="D256" t="s">
        <v>380</v>
      </c>
      <c r="E256" t="s">
        <v>100</v>
      </c>
      <c r="F256" t="s">
        <v>149</v>
      </c>
      <c r="G256" s="1">
        <v>249</v>
      </c>
    </row>
    <row r="257" spans="1:7">
      <c r="A257" s="1">
        <v>256</v>
      </c>
      <c r="B257" s="1">
        <v>7</v>
      </c>
      <c r="C257" t="s">
        <v>144</v>
      </c>
      <c r="D257" t="s">
        <v>381</v>
      </c>
      <c r="E257" t="s">
        <v>31</v>
      </c>
      <c r="F257" t="s">
        <v>350</v>
      </c>
      <c r="G257" s="1">
        <v>422</v>
      </c>
    </row>
    <row r="258" spans="1:7">
      <c r="A258" s="1">
        <v>257</v>
      </c>
      <c r="B258" s="1">
        <v>7</v>
      </c>
      <c r="C258" t="s">
        <v>144</v>
      </c>
      <c r="D258" t="s">
        <v>382</v>
      </c>
      <c r="E258" t="s">
        <v>51</v>
      </c>
      <c r="F258" t="s">
        <v>58</v>
      </c>
      <c r="G258" s="1">
        <v>269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5538-8D08-494E-9368-194E47FE0C69}">
  <dimension ref="A1:E33"/>
  <sheetViews>
    <sheetView workbookViewId="0">
      <pane ySplit="1" topLeftCell="A3" activePane="bottomLeft" state="frozen"/>
      <selection pane="bottomLeft" activeCell="A16" sqref="A16"/>
    </sheetView>
  </sheetViews>
  <sheetFormatPr defaultRowHeight="14.5"/>
  <cols>
    <col min="1" max="2" width="10" customWidth="1"/>
    <col min="3" max="3" width="30.90625" customWidth="1"/>
    <col min="4" max="4" width="60" customWidth="1"/>
    <col min="5" max="5" width="20" customWidth="1"/>
  </cols>
  <sheetData>
    <row r="1" spans="1:5" ht="22" customHeight="1" thickBot="1">
      <c r="A1" s="4" t="s">
        <v>444</v>
      </c>
      <c r="B1" s="4" t="s">
        <v>445</v>
      </c>
      <c r="C1" s="4" t="s">
        <v>446</v>
      </c>
      <c r="D1" s="2" t="s">
        <v>447</v>
      </c>
      <c r="E1" s="4" t="s">
        <v>448</v>
      </c>
    </row>
    <row r="2" spans="1:5" ht="22" customHeight="1" thickBot="1">
      <c r="A2" s="5">
        <v>1</v>
      </c>
      <c r="B2" s="5">
        <v>1</v>
      </c>
      <c r="C2" s="6" t="s">
        <v>383</v>
      </c>
      <c r="D2" s="3" t="s">
        <v>384</v>
      </c>
      <c r="E2" s="7" t="s">
        <v>385</v>
      </c>
    </row>
    <row r="3" spans="1:5" ht="22" customHeight="1" thickBot="1">
      <c r="A3" s="5">
        <v>1</v>
      </c>
      <c r="B3" s="5">
        <v>2</v>
      </c>
      <c r="C3" s="6" t="s">
        <v>386</v>
      </c>
      <c r="D3" s="3" t="s">
        <v>387</v>
      </c>
      <c r="E3" s="7" t="s">
        <v>385</v>
      </c>
    </row>
    <row r="4" spans="1:5" ht="22" customHeight="1" thickBot="1">
      <c r="A4" s="5">
        <v>1</v>
      </c>
      <c r="B4" s="5">
        <v>3</v>
      </c>
      <c r="C4" s="6" t="s">
        <v>388</v>
      </c>
      <c r="D4" s="3" t="s">
        <v>389</v>
      </c>
      <c r="E4" s="7" t="s">
        <v>385</v>
      </c>
    </row>
    <row r="5" spans="1:5" ht="22" customHeight="1" thickBot="1">
      <c r="A5" s="5">
        <v>1</v>
      </c>
      <c r="B5" s="5">
        <v>4</v>
      </c>
      <c r="C5" s="6" t="s">
        <v>390</v>
      </c>
      <c r="D5" s="3" t="s">
        <v>391</v>
      </c>
      <c r="E5" s="7" t="s">
        <v>385</v>
      </c>
    </row>
    <row r="6" spans="1:5" ht="22" customHeight="1" thickBot="1">
      <c r="A6" s="5">
        <v>1</v>
      </c>
      <c r="B6" s="5">
        <v>5</v>
      </c>
      <c r="C6" s="6" t="s">
        <v>392</v>
      </c>
      <c r="D6" s="3" t="s">
        <v>393</v>
      </c>
      <c r="E6" s="7" t="s">
        <v>385</v>
      </c>
    </row>
    <row r="7" spans="1:5" ht="22" customHeight="1" thickBot="1">
      <c r="A7" s="5">
        <v>1</v>
      </c>
      <c r="B7" s="5">
        <v>6</v>
      </c>
      <c r="C7" s="6" t="s">
        <v>394</v>
      </c>
      <c r="D7" s="3" t="s">
        <v>395</v>
      </c>
      <c r="E7" s="7" t="s">
        <v>25</v>
      </c>
    </row>
    <row r="8" spans="1:5" ht="22" customHeight="1" thickBot="1">
      <c r="A8" s="5">
        <v>1</v>
      </c>
      <c r="B8" s="5">
        <v>7</v>
      </c>
      <c r="C8" s="6" t="s">
        <v>396</v>
      </c>
      <c r="D8" s="3" t="s">
        <v>397</v>
      </c>
      <c r="E8" s="7" t="s">
        <v>385</v>
      </c>
    </row>
    <row r="9" spans="1:5" ht="22" customHeight="1" thickBot="1">
      <c r="A9" s="5">
        <v>1</v>
      </c>
      <c r="B9" s="5">
        <v>8</v>
      </c>
      <c r="C9" s="6" t="s">
        <v>398</v>
      </c>
      <c r="D9" s="3" t="s">
        <v>399</v>
      </c>
      <c r="E9" s="7" t="s">
        <v>385</v>
      </c>
    </row>
    <row r="10" spans="1:5" ht="22" customHeight="1" thickBot="1">
      <c r="A10" s="5">
        <v>1</v>
      </c>
      <c r="B10" s="5">
        <v>9</v>
      </c>
      <c r="C10" s="6" t="s">
        <v>400</v>
      </c>
      <c r="D10" s="3" t="s">
        <v>401</v>
      </c>
      <c r="E10" s="7" t="s">
        <v>34</v>
      </c>
    </row>
    <row r="11" spans="1:5" ht="22" customHeight="1" thickBot="1">
      <c r="A11" s="5">
        <v>1</v>
      </c>
      <c r="B11" s="5">
        <v>10</v>
      </c>
      <c r="C11" s="6" t="s">
        <v>392</v>
      </c>
      <c r="D11" s="3" t="s">
        <v>402</v>
      </c>
      <c r="E11" s="7" t="s">
        <v>107</v>
      </c>
    </row>
    <row r="12" spans="1:5" ht="22" customHeight="1" thickBot="1">
      <c r="A12" s="5">
        <v>1</v>
      </c>
      <c r="B12" s="5">
        <v>11</v>
      </c>
      <c r="C12" s="6" t="s">
        <v>403</v>
      </c>
      <c r="D12" s="3" t="s">
        <v>404</v>
      </c>
      <c r="E12" s="7" t="s">
        <v>40</v>
      </c>
    </row>
    <row r="13" spans="1:5" ht="22" customHeight="1" thickBot="1">
      <c r="A13" s="5">
        <v>1</v>
      </c>
      <c r="B13" s="5">
        <v>12</v>
      </c>
      <c r="C13" s="6" t="s">
        <v>405</v>
      </c>
      <c r="D13" s="3" t="s">
        <v>406</v>
      </c>
      <c r="E13" s="7" t="s">
        <v>43</v>
      </c>
    </row>
    <row r="14" spans="1:5" ht="22" customHeight="1" thickBot="1">
      <c r="A14" s="5">
        <v>1</v>
      </c>
      <c r="B14" s="5">
        <v>13</v>
      </c>
      <c r="C14" s="6" t="s">
        <v>407</v>
      </c>
      <c r="D14" s="3" t="s">
        <v>408</v>
      </c>
      <c r="E14" s="7" t="s">
        <v>121</v>
      </c>
    </row>
    <row r="15" spans="1:5" ht="22" customHeight="1" thickBot="1">
      <c r="A15" s="5">
        <v>1</v>
      </c>
      <c r="B15" s="5">
        <v>14</v>
      </c>
      <c r="C15" s="6" t="s">
        <v>409</v>
      </c>
      <c r="D15" s="3" t="s">
        <v>410</v>
      </c>
      <c r="E15" s="7" t="s">
        <v>385</v>
      </c>
    </row>
    <row r="16" spans="1:5" ht="22" customHeight="1" thickBot="1">
      <c r="A16" s="5">
        <v>1</v>
      </c>
      <c r="B16" s="5">
        <v>15</v>
      </c>
      <c r="C16" s="6" t="s">
        <v>411</v>
      </c>
      <c r="D16" s="3" t="s">
        <v>412</v>
      </c>
      <c r="E16" s="7" t="s">
        <v>385</v>
      </c>
    </row>
    <row r="17" spans="1:5" ht="22" customHeight="1" thickBot="1">
      <c r="A17" s="5">
        <v>1</v>
      </c>
      <c r="B17" s="5">
        <v>16</v>
      </c>
      <c r="C17" s="6" t="s">
        <v>386</v>
      </c>
      <c r="D17" s="3" t="s">
        <v>413</v>
      </c>
      <c r="E17" s="7" t="s">
        <v>119</v>
      </c>
    </row>
    <row r="18" spans="1:5" ht="22" customHeight="1" thickBot="1">
      <c r="A18" s="5">
        <v>1</v>
      </c>
      <c r="B18" s="5">
        <v>17</v>
      </c>
      <c r="C18" s="6" t="s">
        <v>414</v>
      </c>
      <c r="D18" s="3" t="s">
        <v>415</v>
      </c>
      <c r="E18" s="7" t="s">
        <v>385</v>
      </c>
    </row>
    <row r="19" spans="1:5" ht="22" customHeight="1" thickBot="1">
      <c r="A19" s="5">
        <v>1</v>
      </c>
      <c r="B19" s="5">
        <v>18</v>
      </c>
      <c r="C19" s="6" t="s">
        <v>416</v>
      </c>
      <c r="D19" s="3" t="s">
        <v>417</v>
      </c>
      <c r="E19" s="7" t="s">
        <v>385</v>
      </c>
    </row>
    <row r="20" spans="1:5" ht="22" customHeight="1" thickBot="1">
      <c r="A20" s="5">
        <v>1</v>
      </c>
      <c r="B20" s="5">
        <v>19</v>
      </c>
      <c r="C20" s="6" t="s">
        <v>418</v>
      </c>
      <c r="D20" s="3" t="s">
        <v>419</v>
      </c>
      <c r="E20" s="7" t="s">
        <v>385</v>
      </c>
    </row>
    <row r="21" spans="1:5" ht="22" customHeight="1" thickBot="1">
      <c r="A21" s="5">
        <v>1</v>
      </c>
      <c r="B21" s="5">
        <v>20</v>
      </c>
      <c r="C21" s="6" t="s">
        <v>420</v>
      </c>
      <c r="D21" s="3" t="s">
        <v>421</v>
      </c>
      <c r="E21" s="7" t="s">
        <v>422</v>
      </c>
    </row>
    <row r="22" spans="1:5" ht="22" customHeight="1" thickBot="1">
      <c r="A22" s="5">
        <v>1</v>
      </c>
      <c r="B22" s="5">
        <v>21</v>
      </c>
      <c r="C22" s="6" t="s">
        <v>423</v>
      </c>
      <c r="D22" s="3" t="s">
        <v>424</v>
      </c>
      <c r="E22" s="7" t="s">
        <v>385</v>
      </c>
    </row>
    <row r="23" spans="1:5" ht="22" customHeight="1" thickBot="1">
      <c r="A23" s="5">
        <v>1</v>
      </c>
      <c r="B23" s="5">
        <v>22</v>
      </c>
      <c r="C23" s="6" t="s">
        <v>425</v>
      </c>
      <c r="D23" s="3" t="s">
        <v>426</v>
      </c>
      <c r="E23" s="7" t="s">
        <v>385</v>
      </c>
    </row>
    <row r="24" spans="1:5" ht="22" customHeight="1" thickBot="1">
      <c r="A24" s="5">
        <v>1</v>
      </c>
      <c r="B24" s="5">
        <v>23</v>
      </c>
      <c r="C24" s="6" t="s">
        <v>403</v>
      </c>
      <c r="D24" s="3" t="s">
        <v>427</v>
      </c>
      <c r="E24" s="7" t="s">
        <v>73</v>
      </c>
    </row>
    <row r="25" spans="1:5" ht="22" customHeight="1" thickBot="1">
      <c r="A25" s="5">
        <v>1</v>
      </c>
      <c r="B25" s="5">
        <v>24</v>
      </c>
      <c r="C25" s="6" t="s">
        <v>400</v>
      </c>
      <c r="D25" s="3" t="s">
        <v>428</v>
      </c>
      <c r="E25" s="7" t="s">
        <v>134</v>
      </c>
    </row>
    <row r="26" spans="1:5" ht="22" customHeight="1" thickBot="1">
      <c r="A26" s="5">
        <v>1</v>
      </c>
      <c r="B26" s="5">
        <v>25</v>
      </c>
      <c r="C26" s="6" t="s">
        <v>429</v>
      </c>
      <c r="D26" s="3" t="s">
        <v>430</v>
      </c>
      <c r="E26" s="7" t="s">
        <v>385</v>
      </c>
    </row>
    <row r="27" spans="1:5" ht="22" customHeight="1" thickBot="1">
      <c r="A27" s="5">
        <v>1</v>
      </c>
      <c r="B27" s="5">
        <v>26</v>
      </c>
      <c r="C27" s="6" t="s">
        <v>431</v>
      </c>
      <c r="D27" s="3" t="s">
        <v>432</v>
      </c>
      <c r="E27" s="7" t="s">
        <v>81</v>
      </c>
    </row>
    <row r="28" spans="1:5" ht="22" customHeight="1" thickBot="1">
      <c r="A28" s="5">
        <v>1</v>
      </c>
      <c r="B28" s="5">
        <v>27</v>
      </c>
      <c r="C28" s="6" t="s">
        <v>405</v>
      </c>
      <c r="D28" s="3" t="s">
        <v>433</v>
      </c>
      <c r="E28" s="7" t="s">
        <v>83</v>
      </c>
    </row>
    <row r="29" spans="1:5" ht="22" customHeight="1" thickBot="1">
      <c r="A29" s="5">
        <v>1</v>
      </c>
      <c r="B29" s="5">
        <v>28</v>
      </c>
      <c r="C29" s="6" t="s">
        <v>434</v>
      </c>
      <c r="D29" s="3" t="s">
        <v>435</v>
      </c>
      <c r="E29" s="7" t="s">
        <v>436</v>
      </c>
    </row>
    <row r="30" spans="1:5" ht="22" customHeight="1" thickBot="1">
      <c r="A30" s="5">
        <v>1</v>
      </c>
      <c r="B30" s="5">
        <v>29</v>
      </c>
      <c r="C30" s="6" t="s">
        <v>394</v>
      </c>
      <c r="D30" s="3" t="s">
        <v>437</v>
      </c>
      <c r="E30" s="7" t="s">
        <v>46</v>
      </c>
    </row>
    <row r="31" spans="1:5" ht="22" customHeight="1" thickBot="1">
      <c r="A31" s="5">
        <v>1</v>
      </c>
      <c r="B31" s="5">
        <v>30</v>
      </c>
      <c r="C31" s="6" t="s">
        <v>386</v>
      </c>
      <c r="D31" s="3" t="s">
        <v>438</v>
      </c>
      <c r="E31" s="7" t="s">
        <v>439</v>
      </c>
    </row>
    <row r="32" spans="1:5" ht="22" customHeight="1" thickBot="1">
      <c r="A32" s="5">
        <v>1</v>
      </c>
      <c r="B32" s="5">
        <v>31</v>
      </c>
      <c r="C32" s="6" t="s">
        <v>390</v>
      </c>
      <c r="D32" s="3" t="s">
        <v>440</v>
      </c>
      <c r="E32" s="7" t="s">
        <v>441</v>
      </c>
    </row>
    <row r="33" spans="1:5" ht="22" customHeight="1">
      <c r="A33" s="5">
        <v>1</v>
      </c>
      <c r="B33" s="5">
        <v>32</v>
      </c>
      <c r="C33" s="6" t="s">
        <v>442</v>
      </c>
      <c r="D33" s="3" t="s">
        <v>443</v>
      </c>
      <c r="E33" s="8"/>
    </row>
  </sheetData>
  <hyperlinks>
    <hyperlink ref="C2" r:id="rId1" display="https://www.foxsports.com/nfl/las-vegas-raiders-team" xr:uid="{8B88A315-5627-4147-91BA-90045A86F83B}"/>
    <hyperlink ref="C3" r:id="rId2" display="https://www.foxsports.com/nfl/new-york-jets-team" xr:uid="{436ACCBE-CE15-4A9E-8AC5-2EF6B675EB3A}"/>
    <hyperlink ref="C4" r:id="rId3" display="https://www.foxsports.com/nfl/arizona-cardinals-team" xr:uid="{23C0339E-F173-416F-AD8E-98924FFCC5CE}"/>
    <hyperlink ref="C5" r:id="rId4" display="https://www.foxsports.com/nfl/tennessee-titans-team" xr:uid="{0170BC26-C4D6-48B2-952C-59C3F1087087}"/>
    <hyperlink ref="C6" r:id="rId5" display="https://www.foxsports.com/nfl/new-york-giants-team" xr:uid="{9DDE1AFD-7320-4F9C-B5F4-885B744C194F}"/>
    <hyperlink ref="C7" r:id="rId6" display="https://www.foxsports.com/nfl/kansas-city-chiefs-team" xr:uid="{BBC7E51F-8FC8-4368-A812-FCF84AF172D2}"/>
    <hyperlink ref="C8" r:id="rId7" display="https://www.foxsports.com/nfl/washington-commanders-team" xr:uid="{40F3A202-1409-4139-B656-81392628DA4F}"/>
    <hyperlink ref="C9" r:id="rId8" display="https://www.foxsports.com/nfl/new-orleans-saints-team" xr:uid="{F65A11E7-3108-43F9-8215-3D1742DA1C87}"/>
    <hyperlink ref="C10" r:id="rId9" display="https://www.foxsports.com/nfl/cleveland-browns-team" xr:uid="{7293632C-14EB-48B8-8AFD-27D10BB0BD6E}"/>
    <hyperlink ref="C11" r:id="rId10" display="https://www.foxsports.com/nfl/new-york-giants-team" xr:uid="{2C7CC7E6-08EE-4C68-A604-36BF1EAABBCC}"/>
    <hyperlink ref="C12" r:id="rId11" display="https://www.foxsports.com/nfl/dallas-cowboys-team" xr:uid="{C046F62E-8028-444F-BA67-86A0F10A927D}"/>
    <hyperlink ref="C13" r:id="rId12" display="https://www.foxsports.com/nfl/miami-dolphins-team" xr:uid="{C4AF3B50-D8A1-490D-B2AE-519E6EAF46FF}"/>
    <hyperlink ref="C14" r:id="rId13" display="https://www.foxsports.com/nfl/los-angeles-rams-team" xr:uid="{2D8D9503-A3A8-4CC8-BEB5-2DAD395105D1}"/>
    <hyperlink ref="C15" r:id="rId14" display="https://www.foxsports.com/nfl/baltimore-ravens-team" xr:uid="{22192927-E964-4C21-A6BC-0C029138032E}"/>
    <hyperlink ref="C16" r:id="rId15" display="https://www.foxsports.com/nfl/tampa-bay-buccaneers-team" xr:uid="{84A7BB0C-0B6C-421F-AAE0-0F82AEB7ED32}"/>
    <hyperlink ref="C17" r:id="rId16" display="https://www.foxsports.com/nfl/new-york-jets-team" xr:uid="{387FC60F-3201-48FA-B9C5-8569E4F54769}"/>
    <hyperlink ref="C18" r:id="rId17" display="https://www.foxsports.com/nfl/detroit-lions-team" xr:uid="{667BD6D3-99DF-47E9-BF6F-081D77E64282}"/>
    <hyperlink ref="C19" r:id="rId18" display="https://www.foxsports.com/nfl/minnesota-vikings-team" xr:uid="{3D8C0DBE-083B-4D1F-839B-52C07B0135D6}"/>
    <hyperlink ref="C20" r:id="rId19" display="https://www.foxsports.com/nfl/carolina-panthers-team" xr:uid="{F5D382E3-C17F-4647-AD12-6470FEBDF6CC}"/>
    <hyperlink ref="C21" r:id="rId20" display="https://www.foxsports.com/nfl/philadelphia-eagles-team" xr:uid="{02D217F0-CB64-44F2-9447-FE9C1F50101C}"/>
    <hyperlink ref="C22" r:id="rId21" display="https://www.foxsports.com/nfl/pittsburgh-steelers-team" xr:uid="{16729101-F7B8-4C1A-853E-C3E306F732F6}"/>
    <hyperlink ref="C23" r:id="rId22" display="https://www.foxsports.com/nfl/los-angeles-chargers-team" xr:uid="{E96CDDAB-7F7D-4629-A49C-0F43E37104A8}"/>
    <hyperlink ref="C24" r:id="rId23" display="https://www.foxsports.com/nfl/dallas-cowboys-team" xr:uid="{4FF35D65-D925-4762-AA9B-BD99A65D3732}"/>
    <hyperlink ref="C25" r:id="rId24" display="https://www.foxsports.com/nfl/cleveland-browns-team" xr:uid="{7B129243-FB5F-46E5-83FF-99BDA8D768B4}"/>
    <hyperlink ref="C26" r:id="rId25" display="https://www.foxsports.com/nfl/chicago-bears-team" xr:uid="{0F12B945-FA16-4866-939C-4F31096A6855}"/>
    <hyperlink ref="C27" r:id="rId26" display="https://www.foxsports.com/nfl/houston-texans-team" xr:uid="{1D48F87E-5885-4607-BDD9-EBE91C7B5529}"/>
    <hyperlink ref="C28" r:id="rId27" display="https://www.foxsports.com/nfl/miami-dolphins-team" xr:uid="{A6F785B2-EA4E-44A1-A28A-88896DB23EFF}"/>
    <hyperlink ref="C29" r:id="rId28" display="https://www.foxsports.com/nfl/new-england-patriots-team" xr:uid="{2933E6C8-82FE-4199-9ED6-CE228F741265}"/>
    <hyperlink ref="C30" r:id="rId29" display="https://www.foxsports.com/nfl/kansas-city-chiefs-team" xr:uid="{B6DC2375-6347-49E5-B707-EEC99BB4D3F8}"/>
    <hyperlink ref="C31" r:id="rId30" display="https://www.foxsports.com/nfl/new-york-jets-team" xr:uid="{99D0B9A0-4DF7-4DD4-A41C-0F2B05C9FBC0}"/>
    <hyperlink ref="C32" r:id="rId31" display="https://www.foxsports.com/nfl/tennessee-titans-team" xr:uid="{69498557-B3B2-4CC6-B3D1-0620E95BCBBE}"/>
    <hyperlink ref="C33" r:id="rId32" display="https://www.foxsports.com/nfl/seattle-seahawks-team" xr:uid="{19C8C573-A3FD-4B31-A39E-F99B7CCA0B31}"/>
  </hyperlinks>
  <pageMargins left="0.7" right="0.7" top="0.75" bottom="0.75" header="0.3" footer="0.3"/>
  <tableParts count="1">
    <tablePart r:id="rId3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C9D2-F5E2-4385-9581-00B5080B973A}">
  <dimension ref="A1:AG33"/>
  <sheetViews>
    <sheetView topLeftCell="A33" workbookViewId="0">
      <selection activeCell="D43" sqref="D43"/>
    </sheetView>
  </sheetViews>
  <sheetFormatPr defaultRowHeight="14.5"/>
  <cols>
    <col min="1" max="7" width="16" customWidth="1"/>
    <col min="8" max="8" width="54.6328125" bestFit="1" customWidth="1"/>
    <col min="9" max="9" width="50.1796875" bestFit="1" customWidth="1"/>
    <col min="10" max="10" width="54.26953125" bestFit="1" customWidth="1"/>
    <col min="11" max="18" width="32.7265625" customWidth="1"/>
  </cols>
  <sheetData>
    <row r="1" spans="1:33">
      <c r="A1" s="9" t="s">
        <v>449</v>
      </c>
      <c r="B1" s="9" t="s">
        <v>446</v>
      </c>
      <c r="C1" s="9" t="s">
        <v>450</v>
      </c>
      <c r="D1" s="9" t="s">
        <v>451</v>
      </c>
      <c r="E1" s="9" t="s">
        <v>452</v>
      </c>
      <c r="F1" s="9" t="s">
        <v>453</v>
      </c>
      <c r="G1" s="9" t="s">
        <v>454</v>
      </c>
      <c r="H1" s="33" t="s">
        <v>574</v>
      </c>
      <c r="I1" s="33" t="s">
        <v>575</v>
      </c>
      <c r="J1" s="33" t="s">
        <v>576</v>
      </c>
      <c r="K1" s="49" t="s">
        <v>609</v>
      </c>
      <c r="L1" s="49" t="s">
        <v>610</v>
      </c>
      <c r="M1" s="49" t="s">
        <v>611</v>
      </c>
      <c r="N1" s="49" t="s">
        <v>612</v>
      </c>
      <c r="O1" s="49" t="s">
        <v>679</v>
      </c>
      <c r="P1" s="49" t="s">
        <v>613</v>
      </c>
      <c r="Q1" s="49" t="s">
        <v>614</v>
      </c>
      <c r="R1" s="49" t="s">
        <v>615</v>
      </c>
      <c r="S1" s="22" t="s">
        <v>707</v>
      </c>
      <c r="T1" s="22" t="s">
        <v>708</v>
      </c>
      <c r="U1" s="22" t="s">
        <v>709</v>
      </c>
      <c r="V1" s="22" t="s">
        <v>710</v>
      </c>
      <c r="W1" t="s">
        <v>743</v>
      </c>
      <c r="X1" t="s">
        <v>744</v>
      </c>
      <c r="Y1" t="s">
        <v>745</v>
      </c>
      <c r="Z1" t="s">
        <v>746</v>
      </c>
      <c r="AA1" t="s">
        <v>747</v>
      </c>
      <c r="AB1" t="s">
        <v>748</v>
      </c>
      <c r="AC1" t="s">
        <v>749</v>
      </c>
      <c r="AD1" t="s">
        <v>777</v>
      </c>
      <c r="AE1" t="s">
        <v>778</v>
      </c>
      <c r="AF1" t="s">
        <v>779</v>
      </c>
      <c r="AG1" t="s">
        <v>780</v>
      </c>
    </row>
    <row r="2" spans="1:33" ht="50">
      <c r="A2" s="10">
        <v>1</v>
      </c>
      <c r="B2" s="11" t="s">
        <v>455</v>
      </c>
      <c r="C2" s="12" t="s">
        <v>456</v>
      </c>
      <c r="D2" s="12" t="s">
        <v>456</v>
      </c>
      <c r="E2" s="12" t="s">
        <v>456</v>
      </c>
      <c r="F2" s="12" t="s">
        <v>456</v>
      </c>
      <c r="G2" s="12" t="s">
        <v>456</v>
      </c>
      <c r="H2" t="s">
        <v>456</v>
      </c>
      <c r="I2" t="s">
        <v>456</v>
      </c>
      <c r="J2" t="s">
        <v>456</v>
      </c>
      <c r="K2" t="s">
        <v>456</v>
      </c>
      <c r="L2" t="s">
        <v>456</v>
      </c>
      <c r="M2" t="s">
        <v>456</v>
      </c>
      <c r="N2" t="s">
        <v>456</v>
      </c>
      <c r="O2" t="s">
        <v>456</v>
      </c>
      <c r="P2" t="s">
        <v>456</v>
      </c>
      <c r="Q2" t="s">
        <v>456</v>
      </c>
      <c r="R2" t="s">
        <v>456</v>
      </c>
      <c r="S2" t="s">
        <v>8</v>
      </c>
      <c r="T2" t="s">
        <v>8</v>
      </c>
      <c r="U2" t="s">
        <v>8</v>
      </c>
      <c r="V2" t="s">
        <v>713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</row>
    <row r="3" spans="1:33" ht="62.5">
      <c r="A3" s="13">
        <v>2</v>
      </c>
      <c r="B3" s="14" t="s">
        <v>457</v>
      </c>
      <c r="C3" s="15" t="s">
        <v>458</v>
      </c>
      <c r="D3" s="15" t="s">
        <v>458</v>
      </c>
      <c r="E3" s="15" t="s">
        <v>458</v>
      </c>
      <c r="F3" s="15" t="s">
        <v>458</v>
      </c>
      <c r="G3" s="15" t="s">
        <v>459</v>
      </c>
      <c r="H3" t="s">
        <v>458</v>
      </c>
      <c r="I3" t="s">
        <v>458</v>
      </c>
      <c r="J3" t="s">
        <v>462</v>
      </c>
      <c r="K3" t="s">
        <v>459</v>
      </c>
      <c r="L3" t="s">
        <v>458</v>
      </c>
      <c r="M3" t="s">
        <v>458</v>
      </c>
      <c r="N3" t="s">
        <v>458</v>
      </c>
      <c r="O3" t="s">
        <v>458</v>
      </c>
      <c r="P3" t="s">
        <v>459</v>
      </c>
      <c r="Q3" t="s">
        <v>458</v>
      </c>
      <c r="R3" t="s">
        <v>458</v>
      </c>
      <c r="S3" t="s">
        <v>12</v>
      </c>
      <c r="T3" t="s">
        <v>16</v>
      </c>
      <c r="U3" t="s">
        <v>16</v>
      </c>
      <c r="V3" t="s">
        <v>8</v>
      </c>
      <c r="W3" t="s">
        <v>12</v>
      </c>
      <c r="X3" t="s">
        <v>12</v>
      </c>
      <c r="Y3" t="s">
        <v>12</v>
      </c>
      <c r="Z3" t="s">
        <v>16</v>
      </c>
      <c r="AA3" t="s">
        <v>12</v>
      </c>
      <c r="AB3" t="s">
        <v>12</v>
      </c>
      <c r="AC3" t="s">
        <v>16</v>
      </c>
      <c r="AD3" t="s">
        <v>12</v>
      </c>
      <c r="AE3" t="s">
        <v>16</v>
      </c>
      <c r="AF3" t="s">
        <v>12</v>
      </c>
      <c r="AG3" t="s">
        <v>12</v>
      </c>
    </row>
    <row r="4" spans="1:33" ht="62.5">
      <c r="A4" s="10">
        <v>3</v>
      </c>
      <c r="B4" s="11" t="s">
        <v>460</v>
      </c>
      <c r="C4" s="12" t="s">
        <v>461</v>
      </c>
      <c r="D4" s="12" t="s">
        <v>462</v>
      </c>
      <c r="E4" s="12" t="s">
        <v>461</v>
      </c>
      <c r="F4" s="12" t="s">
        <v>462</v>
      </c>
      <c r="G4" s="12" t="s">
        <v>463</v>
      </c>
      <c r="H4" t="s">
        <v>577</v>
      </c>
      <c r="I4" t="s">
        <v>462</v>
      </c>
      <c r="J4" t="s">
        <v>458</v>
      </c>
      <c r="K4" t="s">
        <v>461</v>
      </c>
      <c r="L4" t="s">
        <v>616</v>
      </c>
      <c r="M4" t="s">
        <v>461</v>
      </c>
      <c r="N4" t="s">
        <v>461</v>
      </c>
      <c r="O4" t="s">
        <v>462</v>
      </c>
      <c r="P4" t="s">
        <v>458</v>
      </c>
      <c r="Q4" t="s">
        <v>461</v>
      </c>
      <c r="R4" t="s">
        <v>462</v>
      </c>
      <c r="S4" t="s">
        <v>16</v>
      </c>
      <c r="T4" t="s">
        <v>12</v>
      </c>
      <c r="U4" t="s">
        <v>20</v>
      </c>
      <c r="V4" t="s">
        <v>714</v>
      </c>
      <c r="W4" t="s">
        <v>26</v>
      </c>
      <c r="X4" t="s">
        <v>20</v>
      </c>
      <c r="Y4" t="s">
        <v>20</v>
      </c>
      <c r="Z4" t="s">
        <v>12</v>
      </c>
      <c r="AA4" t="s">
        <v>20</v>
      </c>
      <c r="AB4" t="s">
        <v>20</v>
      </c>
      <c r="AC4" t="s">
        <v>12</v>
      </c>
      <c r="AD4" t="s">
        <v>20</v>
      </c>
      <c r="AE4" t="s">
        <v>69</v>
      </c>
      <c r="AF4" t="s">
        <v>26</v>
      </c>
      <c r="AG4" t="s">
        <v>20</v>
      </c>
    </row>
    <row r="5" spans="1:33" ht="62.5">
      <c r="A5" s="13">
        <v>4</v>
      </c>
      <c r="B5" s="14" t="s">
        <v>464</v>
      </c>
      <c r="C5" s="15" t="s">
        <v>465</v>
      </c>
      <c r="D5" s="15" t="s">
        <v>461</v>
      </c>
      <c r="E5" s="15" t="s">
        <v>465</v>
      </c>
      <c r="F5" s="15" t="s">
        <v>461</v>
      </c>
      <c r="G5" s="15" t="s">
        <v>458</v>
      </c>
      <c r="H5" t="s">
        <v>465</v>
      </c>
      <c r="I5" t="s">
        <v>461</v>
      </c>
      <c r="J5" t="s">
        <v>461</v>
      </c>
      <c r="K5" t="s">
        <v>458</v>
      </c>
      <c r="L5" t="s">
        <v>465</v>
      </c>
      <c r="M5" t="s">
        <v>617</v>
      </c>
      <c r="N5" t="s">
        <v>465</v>
      </c>
      <c r="O5" t="s">
        <v>461</v>
      </c>
      <c r="P5" t="s">
        <v>461</v>
      </c>
      <c r="Q5" t="s">
        <v>462</v>
      </c>
      <c r="R5" t="s">
        <v>465</v>
      </c>
      <c r="S5" t="s">
        <v>24</v>
      </c>
      <c r="T5" t="s">
        <v>20</v>
      </c>
      <c r="U5" t="s">
        <v>12</v>
      </c>
      <c r="V5" t="s">
        <v>715</v>
      </c>
      <c r="W5" t="s">
        <v>16</v>
      </c>
      <c r="X5" t="s">
        <v>16</v>
      </c>
      <c r="Y5" t="s">
        <v>24</v>
      </c>
      <c r="Z5" t="s">
        <v>20</v>
      </c>
      <c r="AA5" t="s">
        <v>16</v>
      </c>
      <c r="AB5" t="s">
        <v>24</v>
      </c>
      <c r="AC5" t="s">
        <v>20</v>
      </c>
      <c r="AD5" t="s">
        <v>24</v>
      </c>
      <c r="AE5" t="s">
        <v>12</v>
      </c>
      <c r="AF5" t="s">
        <v>16</v>
      </c>
      <c r="AG5" t="s">
        <v>24</v>
      </c>
    </row>
    <row r="6" spans="1:33" ht="62.5">
      <c r="A6" s="10">
        <v>5</v>
      </c>
      <c r="B6" s="11" t="s">
        <v>466</v>
      </c>
      <c r="C6" s="12" t="s">
        <v>462</v>
      </c>
      <c r="D6" s="12" t="s">
        <v>467</v>
      </c>
      <c r="E6" s="12" t="s">
        <v>462</v>
      </c>
      <c r="F6" s="12" t="s">
        <v>468</v>
      </c>
      <c r="G6" s="12" t="s">
        <v>465</v>
      </c>
      <c r="H6" t="s">
        <v>461</v>
      </c>
      <c r="I6" t="s">
        <v>467</v>
      </c>
      <c r="J6" t="s">
        <v>465</v>
      </c>
      <c r="K6" t="s">
        <v>468</v>
      </c>
      <c r="L6" t="s">
        <v>467</v>
      </c>
      <c r="M6" t="s">
        <v>467</v>
      </c>
      <c r="N6" t="s">
        <v>467</v>
      </c>
      <c r="O6" t="s">
        <v>468</v>
      </c>
      <c r="P6" t="s">
        <v>465</v>
      </c>
      <c r="Q6" t="s">
        <v>465</v>
      </c>
      <c r="R6" t="s">
        <v>461</v>
      </c>
      <c r="S6" t="s">
        <v>20</v>
      </c>
      <c r="T6" t="s">
        <v>38</v>
      </c>
      <c r="U6" t="s">
        <v>24</v>
      </c>
      <c r="V6" t="s">
        <v>716</v>
      </c>
      <c r="W6" t="s">
        <v>24</v>
      </c>
      <c r="X6" t="s">
        <v>41</v>
      </c>
      <c r="Y6" t="s">
        <v>41</v>
      </c>
      <c r="Z6" t="s">
        <v>26</v>
      </c>
      <c r="AA6" t="s">
        <v>41</v>
      </c>
      <c r="AB6" t="s">
        <v>41</v>
      </c>
      <c r="AC6" t="s">
        <v>24</v>
      </c>
      <c r="AD6" t="s">
        <v>16</v>
      </c>
      <c r="AE6" t="s">
        <v>20</v>
      </c>
      <c r="AF6" t="s">
        <v>30</v>
      </c>
      <c r="AG6" t="s">
        <v>38</v>
      </c>
    </row>
    <row r="7" spans="1:33" ht="87.5">
      <c r="A7" s="13">
        <v>6</v>
      </c>
      <c r="B7" s="14" t="s">
        <v>469</v>
      </c>
      <c r="C7" s="15" t="s">
        <v>470</v>
      </c>
      <c r="D7" s="15" t="s">
        <v>471</v>
      </c>
      <c r="E7" s="15" t="s">
        <v>472</v>
      </c>
      <c r="F7" s="15" t="s">
        <v>463</v>
      </c>
      <c r="G7" s="15" t="s">
        <v>473</v>
      </c>
      <c r="H7" t="s">
        <v>472</v>
      </c>
      <c r="I7" t="s">
        <v>471</v>
      </c>
      <c r="J7" t="s">
        <v>473</v>
      </c>
      <c r="K7" t="s">
        <v>472</v>
      </c>
      <c r="L7" t="s">
        <v>473</v>
      </c>
      <c r="M7" t="s">
        <v>472</v>
      </c>
      <c r="N7" t="s">
        <v>618</v>
      </c>
      <c r="O7" t="s">
        <v>473</v>
      </c>
      <c r="P7" t="s">
        <v>473</v>
      </c>
      <c r="Q7" t="s">
        <v>498</v>
      </c>
      <c r="R7" t="s">
        <v>498</v>
      </c>
      <c r="S7" t="s">
        <v>26</v>
      </c>
      <c r="T7" t="s">
        <v>24</v>
      </c>
      <c r="U7" t="s">
        <v>26</v>
      </c>
      <c r="V7" t="s">
        <v>717</v>
      </c>
      <c r="W7" t="s">
        <v>30</v>
      </c>
      <c r="X7" t="s">
        <v>44</v>
      </c>
      <c r="Y7" t="s">
        <v>26</v>
      </c>
      <c r="Z7" t="s">
        <v>57</v>
      </c>
      <c r="AA7" t="s">
        <v>44</v>
      </c>
      <c r="AB7" t="s">
        <v>16</v>
      </c>
      <c r="AC7" t="s">
        <v>30</v>
      </c>
      <c r="AD7" t="s">
        <v>598</v>
      </c>
      <c r="AE7" t="s">
        <v>30</v>
      </c>
      <c r="AF7" t="s">
        <v>24</v>
      </c>
      <c r="AG7" t="s">
        <v>44</v>
      </c>
    </row>
    <row r="8" spans="1:33" ht="62.5">
      <c r="A8" s="10">
        <v>7</v>
      </c>
      <c r="B8" s="11" t="s">
        <v>474</v>
      </c>
      <c r="C8" s="12" t="s">
        <v>473</v>
      </c>
      <c r="D8" s="12" t="s">
        <v>473</v>
      </c>
      <c r="E8" s="12" t="s">
        <v>473</v>
      </c>
      <c r="F8" s="12" t="s">
        <v>465</v>
      </c>
      <c r="G8" s="12" t="s">
        <v>461</v>
      </c>
      <c r="H8" t="s">
        <v>468</v>
      </c>
      <c r="I8" t="s">
        <v>473</v>
      </c>
      <c r="J8" t="s">
        <v>477</v>
      </c>
      <c r="K8" t="s">
        <v>465</v>
      </c>
      <c r="L8" t="s">
        <v>461</v>
      </c>
      <c r="M8" t="s">
        <v>465</v>
      </c>
      <c r="N8" t="s">
        <v>473</v>
      </c>
      <c r="O8" t="s">
        <v>465</v>
      </c>
      <c r="P8" t="s">
        <v>477</v>
      </c>
      <c r="Q8" t="s">
        <v>468</v>
      </c>
      <c r="R8" t="s">
        <v>477</v>
      </c>
      <c r="S8" t="s">
        <v>35</v>
      </c>
      <c r="T8" t="s">
        <v>26</v>
      </c>
      <c r="U8" t="s">
        <v>30</v>
      </c>
      <c r="V8" t="s">
        <v>718</v>
      </c>
      <c r="W8" t="s">
        <v>20</v>
      </c>
      <c r="X8" t="s">
        <v>30</v>
      </c>
      <c r="Y8" t="s">
        <v>30</v>
      </c>
      <c r="Z8" t="s">
        <v>35</v>
      </c>
      <c r="AA8" t="s">
        <v>24</v>
      </c>
      <c r="AB8" t="s">
        <v>30</v>
      </c>
      <c r="AC8" t="s">
        <v>38</v>
      </c>
      <c r="AD8" t="s">
        <v>38</v>
      </c>
      <c r="AE8" t="s">
        <v>24</v>
      </c>
      <c r="AF8" t="s">
        <v>20</v>
      </c>
      <c r="AG8" t="s">
        <v>35</v>
      </c>
    </row>
    <row r="9" spans="1:33" ht="62.5">
      <c r="A9" s="13">
        <v>8</v>
      </c>
      <c r="B9" s="14" t="s">
        <v>475</v>
      </c>
      <c r="C9" s="15" t="s">
        <v>468</v>
      </c>
      <c r="D9" s="15" t="s">
        <v>476</v>
      </c>
      <c r="E9" s="15" t="s">
        <v>467</v>
      </c>
      <c r="F9" s="15" t="s">
        <v>473</v>
      </c>
      <c r="G9" s="15" t="s">
        <v>477</v>
      </c>
      <c r="H9" t="s">
        <v>578</v>
      </c>
      <c r="I9" t="s">
        <v>476</v>
      </c>
      <c r="J9" t="s">
        <v>476</v>
      </c>
      <c r="K9" t="s">
        <v>473</v>
      </c>
      <c r="L9" t="s">
        <v>476</v>
      </c>
      <c r="M9" t="s">
        <v>473</v>
      </c>
      <c r="N9" t="s">
        <v>468</v>
      </c>
      <c r="O9" t="s">
        <v>476</v>
      </c>
      <c r="P9" t="s">
        <v>468</v>
      </c>
      <c r="Q9" t="s">
        <v>473</v>
      </c>
      <c r="R9" t="s">
        <v>476</v>
      </c>
      <c r="S9" t="s">
        <v>30</v>
      </c>
      <c r="T9" t="s">
        <v>30</v>
      </c>
      <c r="U9" t="s">
        <v>598</v>
      </c>
      <c r="V9" t="s">
        <v>719</v>
      </c>
      <c r="W9" t="s">
        <v>47</v>
      </c>
      <c r="X9" t="s">
        <v>38</v>
      </c>
      <c r="Y9" t="s">
        <v>16</v>
      </c>
      <c r="Z9" t="s">
        <v>598</v>
      </c>
      <c r="AA9" t="s">
        <v>38</v>
      </c>
      <c r="AB9" t="s">
        <v>35</v>
      </c>
      <c r="AC9" t="s">
        <v>598</v>
      </c>
      <c r="AD9" t="s">
        <v>35</v>
      </c>
      <c r="AE9" t="s">
        <v>41</v>
      </c>
      <c r="AF9" t="s">
        <v>35</v>
      </c>
      <c r="AG9" t="s">
        <v>41</v>
      </c>
    </row>
    <row r="10" spans="1:33" ht="87.5">
      <c r="A10" s="10">
        <v>9</v>
      </c>
      <c r="B10" s="11" t="s">
        <v>478</v>
      </c>
      <c r="C10" s="12" t="s">
        <v>467</v>
      </c>
      <c r="D10" s="12" t="s">
        <v>468</v>
      </c>
      <c r="E10" s="12" t="s">
        <v>479</v>
      </c>
      <c r="F10" s="12" t="s">
        <v>476</v>
      </c>
      <c r="G10" s="12" t="s">
        <v>476</v>
      </c>
      <c r="H10" t="s">
        <v>477</v>
      </c>
      <c r="I10" t="s">
        <v>468</v>
      </c>
      <c r="J10" t="s">
        <v>590</v>
      </c>
      <c r="K10" t="s">
        <v>477</v>
      </c>
      <c r="L10" t="s">
        <v>619</v>
      </c>
      <c r="M10" t="s">
        <v>477</v>
      </c>
      <c r="N10" t="s">
        <v>477</v>
      </c>
      <c r="O10" t="s">
        <v>492</v>
      </c>
      <c r="P10" t="s">
        <v>463</v>
      </c>
      <c r="Q10" t="s">
        <v>476</v>
      </c>
      <c r="R10" t="s">
        <v>468</v>
      </c>
      <c r="S10" t="s">
        <v>598</v>
      </c>
      <c r="T10" t="s">
        <v>598</v>
      </c>
      <c r="U10" t="s">
        <v>38</v>
      </c>
      <c r="V10" t="s">
        <v>720</v>
      </c>
      <c r="W10" t="s">
        <v>35</v>
      </c>
      <c r="X10" t="s">
        <v>598</v>
      </c>
      <c r="Y10" t="s">
        <v>598</v>
      </c>
      <c r="Z10" t="s">
        <v>72</v>
      </c>
      <c r="AA10" t="s">
        <v>598</v>
      </c>
      <c r="AB10" t="s">
        <v>598</v>
      </c>
      <c r="AC10" t="s">
        <v>35</v>
      </c>
      <c r="AD10" t="s">
        <v>44</v>
      </c>
      <c r="AE10" t="s">
        <v>598</v>
      </c>
      <c r="AF10" t="s">
        <v>44</v>
      </c>
      <c r="AG10" t="s">
        <v>598</v>
      </c>
    </row>
    <row r="11" spans="1:33" ht="62.5">
      <c r="A11" s="13">
        <v>10</v>
      </c>
      <c r="B11" s="14" t="s">
        <v>480</v>
      </c>
      <c r="C11" s="15" t="s">
        <v>481</v>
      </c>
      <c r="D11" s="15" t="s">
        <v>463</v>
      </c>
      <c r="E11" s="15" t="s">
        <v>468</v>
      </c>
      <c r="F11" s="15" t="s">
        <v>467</v>
      </c>
      <c r="G11" s="15" t="s">
        <v>467</v>
      </c>
      <c r="H11" t="s">
        <v>473</v>
      </c>
      <c r="I11" t="s">
        <v>463</v>
      </c>
      <c r="J11" t="s">
        <v>494</v>
      </c>
      <c r="K11" t="s">
        <v>467</v>
      </c>
      <c r="L11" t="s">
        <v>506</v>
      </c>
      <c r="M11" t="s">
        <v>620</v>
      </c>
      <c r="N11" t="s">
        <v>620</v>
      </c>
      <c r="O11" t="s">
        <v>467</v>
      </c>
      <c r="P11" t="s">
        <v>467</v>
      </c>
      <c r="Q11" t="s">
        <v>467</v>
      </c>
      <c r="R11" t="s">
        <v>463</v>
      </c>
      <c r="S11" t="s">
        <v>38</v>
      </c>
      <c r="T11" t="s">
        <v>50</v>
      </c>
      <c r="U11" t="s">
        <v>35</v>
      </c>
      <c r="V11" t="s">
        <v>16</v>
      </c>
      <c r="W11" t="s">
        <v>38</v>
      </c>
      <c r="X11" t="s">
        <v>35</v>
      </c>
      <c r="Y11" t="s">
        <v>35</v>
      </c>
      <c r="Z11" t="s">
        <v>38</v>
      </c>
      <c r="AA11" t="s">
        <v>26</v>
      </c>
      <c r="AB11" t="s">
        <v>38</v>
      </c>
      <c r="AC11" t="s">
        <v>41</v>
      </c>
      <c r="AD11" t="s">
        <v>30</v>
      </c>
      <c r="AE11" t="s">
        <v>38</v>
      </c>
      <c r="AF11" t="s">
        <v>598</v>
      </c>
      <c r="AG11" t="s">
        <v>50</v>
      </c>
    </row>
    <row r="12" spans="1:33" ht="50">
      <c r="A12" s="10">
        <v>11</v>
      </c>
      <c r="B12" s="11" t="s">
        <v>482</v>
      </c>
      <c r="C12" s="12" t="s">
        <v>463</v>
      </c>
      <c r="D12" s="12" t="s">
        <v>477</v>
      </c>
      <c r="E12" s="12" t="s">
        <v>463</v>
      </c>
      <c r="F12" s="12" t="s">
        <v>472</v>
      </c>
      <c r="G12" s="12" t="s">
        <v>472</v>
      </c>
      <c r="H12" t="s">
        <v>476</v>
      </c>
      <c r="I12" t="s">
        <v>477</v>
      </c>
      <c r="J12" t="s">
        <v>472</v>
      </c>
      <c r="K12" t="s">
        <v>463</v>
      </c>
      <c r="L12" t="s">
        <v>477</v>
      </c>
      <c r="M12" t="s">
        <v>468</v>
      </c>
      <c r="N12" t="s">
        <v>476</v>
      </c>
      <c r="O12" t="s">
        <v>477</v>
      </c>
      <c r="P12" t="s">
        <v>476</v>
      </c>
      <c r="Q12" t="s">
        <v>472</v>
      </c>
      <c r="R12" t="s">
        <v>472</v>
      </c>
      <c r="S12" t="s">
        <v>44</v>
      </c>
      <c r="T12" t="s">
        <v>35</v>
      </c>
      <c r="U12" t="s">
        <v>47</v>
      </c>
      <c r="V12" t="s">
        <v>721</v>
      </c>
      <c r="W12" t="s">
        <v>62</v>
      </c>
      <c r="X12" t="s">
        <v>72</v>
      </c>
      <c r="Y12" t="s">
        <v>72</v>
      </c>
      <c r="Z12" t="s">
        <v>30</v>
      </c>
      <c r="AA12" t="s">
        <v>72</v>
      </c>
      <c r="AB12" t="s">
        <v>26</v>
      </c>
      <c r="AC12" t="s">
        <v>44</v>
      </c>
      <c r="AD12" t="s">
        <v>26</v>
      </c>
      <c r="AE12" t="s">
        <v>54</v>
      </c>
      <c r="AF12" t="s">
        <v>38</v>
      </c>
      <c r="AG12" t="s">
        <v>26</v>
      </c>
    </row>
    <row r="13" spans="1:33" ht="112.5">
      <c r="A13" s="13">
        <v>12</v>
      </c>
      <c r="B13" s="14" t="s">
        <v>483</v>
      </c>
      <c r="C13" s="15" t="s">
        <v>477</v>
      </c>
      <c r="D13" s="15" t="s">
        <v>484</v>
      </c>
      <c r="E13" s="15" t="s">
        <v>485</v>
      </c>
      <c r="F13" s="15" t="s">
        <v>477</v>
      </c>
      <c r="G13" s="15" t="s">
        <v>486</v>
      </c>
      <c r="H13" t="s">
        <v>467</v>
      </c>
      <c r="I13" t="s">
        <v>584</v>
      </c>
      <c r="J13" t="s">
        <v>591</v>
      </c>
      <c r="K13" t="s">
        <v>476</v>
      </c>
      <c r="L13" t="s">
        <v>494</v>
      </c>
      <c r="M13" t="s">
        <v>476</v>
      </c>
      <c r="N13" t="s">
        <v>621</v>
      </c>
      <c r="O13" t="s">
        <v>486</v>
      </c>
      <c r="P13" t="s">
        <v>506</v>
      </c>
      <c r="Q13" t="s">
        <v>477</v>
      </c>
      <c r="R13" t="s">
        <v>467</v>
      </c>
      <c r="S13" t="s">
        <v>41</v>
      </c>
      <c r="T13" t="s">
        <v>44</v>
      </c>
      <c r="U13" t="s">
        <v>44</v>
      </c>
      <c r="V13" t="s">
        <v>24</v>
      </c>
      <c r="W13" t="s">
        <v>598</v>
      </c>
      <c r="X13" t="s">
        <v>24</v>
      </c>
      <c r="Y13" t="s">
        <v>38</v>
      </c>
      <c r="Z13" t="s">
        <v>24</v>
      </c>
      <c r="AA13" t="s">
        <v>35</v>
      </c>
      <c r="AB13" t="s">
        <v>44</v>
      </c>
      <c r="AC13" t="s">
        <v>62</v>
      </c>
      <c r="AD13" t="s">
        <v>41</v>
      </c>
      <c r="AE13" t="s">
        <v>35</v>
      </c>
      <c r="AF13" t="s">
        <v>57</v>
      </c>
      <c r="AG13" t="s">
        <v>16</v>
      </c>
    </row>
    <row r="14" spans="1:33" ht="100">
      <c r="A14" s="10">
        <v>13</v>
      </c>
      <c r="B14" s="11" t="s">
        <v>487</v>
      </c>
      <c r="C14" s="12" t="s">
        <v>472</v>
      </c>
      <c r="D14" s="12" t="s">
        <v>488</v>
      </c>
      <c r="E14" s="12" t="s">
        <v>489</v>
      </c>
      <c r="F14" s="12" t="s">
        <v>488</v>
      </c>
      <c r="G14" s="12" t="s">
        <v>488</v>
      </c>
      <c r="H14" t="s">
        <v>488</v>
      </c>
      <c r="I14" t="s">
        <v>488</v>
      </c>
      <c r="J14" t="s">
        <v>488</v>
      </c>
      <c r="K14" t="s">
        <v>492</v>
      </c>
      <c r="L14" t="s">
        <v>518</v>
      </c>
      <c r="M14" t="s">
        <v>512</v>
      </c>
      <c r="N14" t="s">
        <v>470</v>
      </c>
      <c r="O14" t="s">
        <v>472</v>
      </c>
      <c r="P14" t="s">
        <v>496</v>
      </c>
      <c r="Q14" t="s">
        <v>488</v>
      </c>
      <c r="R14" t="s">
        <v>622</v>
      </c>
      <c r="S14" t="s">
        <v>47</v>
      </c>
      <c r="T14" t="s">
        <v>41</v>
      </c>
      <c r="U14" t="s">
        <v>41</v>
      </c>
      <c r="V14" t="s">
        <v>30</v>
      </c>
      <c r="W14" t="s">
        <v>41</v>
      </c>
      <c r="X14" t="s">
        <v>47</v>
      </c>
      <c r="Y14" t="s">
        <v>47</v>
      </c>
      <c r="Z14" t="s">
        <v>44</v>
      </c>
      <c r="AA14" t="s">
        <v>30</v>
      </c>
      <c r="AB14" t="s">
        <v>47</v>
      </c>
      <c r="AC14" t="s">
        <v>47</v>
      </c>
      <c r="AD14" t="s">
        <v>47</v>
      </c>
      <c r="AE14" t="s">
        <v>26</v>
      </c>
      <c r="AF14" t="s">
        <v>47</v>
      </c>
      <c r="AG14" t="s">
        <v>47</v>
      </c>
    </row>
    <row r="15" spans="1:33" ht="50">
      <c r="A15" s="13">
        <v>14</v>
      </c>
      <c r="B15" s="14" t="s">
        <v>490</v>
      </c>
      <c r="C15" s="15" t="s">
        <v>476</v>
      </c>
      <c r="D15" s="15" t="s">
        <v>472</v>
      </c>
      <c r="E15" s="15" t="s">
        <v>481</v>
      </c>
      <c r="F15" s="15" t="s">
        <v>481</v>
      </c>
      <c r="G15" s="15" t="s">
        <v>481</v>
      </c>
      <c r="H15" t="s">
        <v>492</v>
      </c>
      <c r="I15" t="s">
        <v>580</v>
      </c>
      <c r="J15" t="s">
        <v>492</v>
      </c>
      <c r="K15" t="s">
        <v>580</v>
      </c>
      <c r="L15" t="s">
        <v>623</v>
      </c>
      <c r="M15" t="s">
        <v>492</v>
      </c>
      <c r="N15" t="s">
        <v>624</v>
      </c>
      <c r="O15" t="s">
        <v>624</v>
      </c>
      <c r="P15" t="s">
        <v>623</v>
      </c>
      <c r="Q15" t="s">
        <v>580</v>
      </c>
      <c r="R15" t="s">
        <v>624</v>
      </c>
      <c r="S15" t="s">
        <v>50</v>
      </c>
      <c r="T15" t="s">
        <v>54</v>
      </c>
      <c r="U15" t="s">
        <v>50</v>
      </c>
      <c r="V15" t="s">
        <v>598</v>
      </c>
      <c r="W15" t="s">
        <v>50</v>
      </c>
      <c r="X15" t="s">
        <v>54</v>
      </c>
      <c r="Y15" t="s">
        <v>54</v>
      </c>
      <c r="Z15" t="s">
        <v>115</v>
      </c>
      <c r="AA15" t="s">
        <v>54</v>
      </c>
      <c r="AB15" t="s">
        <v>50</v>
      </c>
      <c r="AC15" t="s">
        <v>50</v>
      </c>
      <c r="AD15" t="s">
        <v>50</v>
      </c>
      <c r="AE15" t="s">
        <v>44</v>
      </c>
      <c r="AF15" t="s">
        <v>60</v>
      </c>
      <c r="AG15" t="s">
        <v>30</v>
      </c>
    </row>
    <row r="16" spans="1:33" ht="62.5">
      <c r="A16" s="10">
        <v>15</v>
      </c>
      <c r="B16" s="11" t="s">
        <v>491</v>
      </c>
      <c r="C16" s="12" t="s">
        <v>492</v>
      </c>
      <c r="D16" s="12" t="s">
        <v>492</v>
      </c>
      <c r="E16" s="12" t="s">
        <v>493</v>
      </c>
      <c r="F16" s="12" t="s">
        <v>493</v>
      </c>
      <c r="G16" s="12" t="s">
        <v>494</v>
      </c>
      <c r="H16" t="s">
        <v>579</v>
      </c>
      <c r="I16" t="s">
        <v>585</v>
      </c>
      <c r="J16" t="s">
        <v>592</v>
      </c>
      <c r="K16" t="s">
        <v>625</v>
      </c>
      <c r="L16" t="s">
        <v>626</v>
      </c>
      <c r="M16" t="s">
        <v>624</v>
      </c>
      <c r="N16" t="s">
        <v>492</v>
      </c>
      <c r="O16" t="s">
        <v>493</v>
      </c>
      <c r="P16" t="s">
        <v>492</v>
      </c>
      <c r="Q16" t="s">
        <v>493</v>
      </c>
      <c r="R16" t="s">
        <v>626</v>
      </c>
      <c r="S16" t="s">
        <v>67</v>
      </c>
      <c r="T16" t="s">
        <v>79</v>
      </c>
      <c r="U16" t="s">
        <v>60</v>
      </c>
      <c r="V16" t="s">
        <v>20</v>
      </c>
      <c r="W16" t="s">
        <v>79</v>
      </c>
      <c r="X16" t="s">
        <v>67</v>
      </c>
      <c r="Y16" t="s">
        <v>67</v>
      </c>
      <c r="Z16" t="s">
        <v>67</v>
      </c>
      <c r="AA16" t="s">
        <v>67</v>
      </c>
      <c r="AB16" t="s">
        <v>72</v>
      </c>
      <c r="AC16" t="s">
        <v>54</v>
      </c>
      <c r="AD16" t="s">
        <v>54</v>
      </c>
      <c r="AE16" t="s">
        <v>67</v>
      </c>
      <c r="AF16" t="s">
        <v>62</v>
      </c>
      <c r="AG16" t="s">
        <v>67</v>
      </c>
    </row>
    <row r="17" spans="1:33" ht="62.5">
      <c r="A17" s="13">
        <v>16</v>
      </c>
      <c r="B17" s="14" t="s">
        <v>495</v>
      </c>
      <c r="C17" s="15" t="s">
        <v>488</v>
      </c>
      <c r="D17" s="15" t="s">
        <v>496</v>
      </c>
      <c r="E17" s="15" t="s">
        <v>488</v>
      </c>
      <c r="F17" s="15" t="s">
        <v>496</v>
      </c>
      <c r="G17" s="15" t="s">
        <v>468</v>
      </c>
      <c r="H17" t="s">
        <v>496</v>
      </c>
      <c r="I17" t="s">
        <v>496</v>
      </c>
      <c r="J17" t="s">
        <v>593</v>
      </c>
      <c r="K17" t="s">
        <v>626</v>
      </c>
      <c r="L17" t="s">
        <v>468</v>
      </c>
      <c r="M17" t="s">
        <v>627</v>
      </c>
      <c r="N17" t="s">
        <v>488</v>
      </c>
      <c r="O17" t="s">
        <v>488</v>
      </c>
      <c r="P17" t="s">
        <v>488</v>
      </c>
      <c r="Q17" t="s">
        <v>496</v>
      </c>
      <c r="R17" t="s">
        <v>473</v>
      </c>
      <c r="S17" t="s">
        <v>228</v>
      </c>
      <c r="T17" t="s">
        <v>47</v>
      </c>
      <c r="U17" t="s">
        <v>57</v>
      </c>
      <c r="V17" t="s">
        <v>722</v>
      </c>
      <c r="W17" t="s">
        <v>54</v>
      </c>
      <c r="X17" t="s">
        <v>50</v>
      </c>
      <c r="Y17" t="s">
        <v>44</v>
      </c>
      <c r="Z17" t="s">
        <v>69</v>
      </c>
      <c r="AA17" t="s">
        <v>47</v>
      </c>
      <c r="AB17" t="s">
        <v>228</v>
      </c>
      <c r="AC17" t="s">
        <v>228</v>
      </c>
      <c r="AD17" t="s">
        <v>72</v>
      </c>
      <c r="AE17" t="s">
        <v>62</v>
      </c>
      <c r="AF17" t="s">
        <v>41</v>
      </c>
      <c r="AG17" t="s">
        <v>87</v>
      </c>
    </row>
    <row r="18" spans="1:33" ht="100">
      <c r="A18" s="10">
        <v>17</v>
      </c>
      <c r="B18" s="11" t="s">
        <v>497</v>
      </c>
      <c r="C18" s="12" t="s">
        <v>498</v>
      </c>
      <c r="D18" s="12" t="s">
        <v>470</v>
      </c>
      <c r="E18" s="12" t="s">
        <v>499</v>
      </c>
      <c r="F18" s="12" t="s">
        <v>498</v>
      </c>
      <c r="G18" s="12" t="s">
        <v>470</v>
      </c>
      <c r="H18" t="s">
        <v>470</v>
      </c>
      <c r="I18" t="s">
        <v>498</v>
      </c>
      <c r="J18" t="s">
        <v>498</v>
      </c>
      <c r="K18" t="s">
        <v>516</v>
      </c>
      <c r="L18" t="s">
        <v>511</v>
      </c>
      <c r="M18" t="s">
        <v>470</v>
      </c>
      <c r="N18" t="s">
        <v>498</v>
      </c>
      <c r="O18" t="s">
        <v>470</v>
      </c>
      <c r="P18" t="s">
        <v>470</v>
      </c>
      <c r="Q18" t="s">
        <v>463</v>
      </c>
      <c r="R18" t="s">
        <v>516</v>
      </c>
      <c r="S18" t="s">
        <v>57</v>
      </c>
      <c r="T18" t="s">
        <v>57</v>
      </c>
      <c r="U18" t="s">
        <v>54</v>
      </c>
      <c r="V18" t="s">
        <v>723</v>
      </c>
      <c r="W18" t="s">
        <v>72</v>
      </c>
      <c r="X18" t="s">
        <v>57</v>
      </c>
      <c r="Y18" t="s">
        <v>79</v>
      </c>
      <c r="Z18" t="s">
        <v>47</v>
      </c>
      <c r="AA18" t="s">
        <v>79</v>
      </c>
      <c r="AB18" t="s">
        <v>57</v>
      </c>
      <c r="AC18" t="s">
        <v>26</v>
      </c>
      <c r="AD18" t="s">
        <v>57</v>
      </c>
      <c r="AE18" t="s">
        <v>72</v>
      </c>
      <c r="AF18" t="s">
        <v>72</v>
      </c>
      <c r="AG18" t="s">
        <v>72</v>
      </c>
    </row>
    <row r="19" spans="1:33" ht="50">
      <c r="A19" s="13">
        <v>18</v>
      </c>
      <c r="B19" s="14" t="s">
        <v>500</v>
      </c>
      <c r="C19" s="15" t="s">
        <v>486</v>
      </c>
      <c r="D19" s="15" t="s">
        <v>486</v>
      </c>
      <c r="E19" s="15" t="s">
        <v>486</v>
      </c>
      <c r="F19" s="15" t="s">
        <v>486</v>
      </c>
      <c r="G19" s="15" t="s">
        <v>492</v>
      </c>
      <c r="H19" t="s">
        <v>532</v>
      </c>
      <c r="I19" t="s">
        <v>486</v>
      </c>
      <c r="J19" t="s">
        <v>486</v>
      </c>
      <c r="K19" t="s">
        <v>486</v>
      </c>
      <c r="L19" t="s">
        <v>502</v>
      </c>
      <c r="M19" t="s">
        <v>486</v>
      </c>
      <c r="N19" t="s">
        <v>486</v>
      </c>
      <c r="O19" t="s">
        <v>494</v>
      </c>
      <c r="P19" t="s">
        <v>486</v>
      </c>
      <c r="Q19" t="s">
        <v>587</v>
      </c>
      <c r="R19" t="s">
        <v>628</v>
      </c>
      <c r="S19" t="s">
        <v>60</v>
      </c>
      <c r="T19" t="s">
        <v>60</v>
      </c>
      <c r="U19" t="s">
        <v>62</v>
      </c>
      <c r="V19" t="s">
        <v>38</v>
      </c>
      <c r="W19" t="s">
        <v>60</v>
      </c>
      <c r="X19" t="s">
        <v>26</v>
      </c>
      <c r="Y19" t="s">
        <v>102</v>
      </c>
      <c r="Z19" t="s">
        <v>86</v>
      </c>
      <c r="AA19" t="s">
        <v>102</v>
      </c>
      <c r="AB19" t="s">
        <v>60</v>
      </c>
      <c r="AC19" t="s">
        <v>60</v>
      </c>
      <c r="AD19" t="s">
        <v>62</v>
      </c>
      <c r="AE19" t="s">
        <v>60</v>
      </c>
      <c r="AF19" t="s">
        <v>74</v>
      </c>
      <c r="AG19" t="s">
        <v>54</v>
      </c>
    </row>
    <row r="20" spans="1:33" ht="100">
      <c r="A20" s="10">
        <v>19</v>
      </c>
      <c r="B20" s="11" t="s">
        <v>501</v>
      </c>
      <c r="C20" s="12" t="s">
        <v>502</v>
      </c>
      <c r="D20" s="12" t="s">
        <v>503</v>
      </c>
      <c r="E20" s="12" t="s">
        <v>504</v>
      </c>
      <c r="F20" s="12" t="s">
        <v>492</v>
      </c>
      <c r="G20" s="12" t="s">
        <v>496</v>
      </c>
      <c r="H20" t="s">
        <v>486</v>
      </c>
      <c r="I20" t="s">
        <v>509</v>
      </c>
      <c r="J20" t="s">
        <v>512</v>
      </c>
      <c r="K20" t="s">
        <v>488</v>
      </c>
      <c r="L20" t="s">
        <v>486</v>
      </c>
      <c r="M20" t="s">
        <v>629</v>
      </c>
      <c r="N20" t="s">
        <v>512</v>
      </c>
      <c r="O20" t="s">
        <v>503</v>
      </c>
      <c r="P20" t="s">
        <v>629</v>
      </c>
      <c r="Q20" t="s">
        <v>492</v>
      </c>
      <c r="R20" t="s">
        <v>486</v>
      </c>
      <c r="S20" t="s">
        <v>54</v>
      </c>
      <c r="T20" t="s">
        <v>76</v>
      </c>
      <c r="U20" t="s">
        <v>67</v>
      </c>
      <c r="V20" t="s">
        <v>35</v>
      </c>
      <c r="W20" t="s">
        <v>44</v>
      </c>
      <c r="X20" t="s">
        <v>60</v>
      </c>
      <c r="Y20" t="s">
        <v>60</v>
      </c>
      <c r="Z20" t="s">
        <v>54</v>
      </c>
      <c r="AA20" t="s">
        <v>60</v>
      </c>
      <c r="AB20" t="s">
        <v>54</v>
      </c>
      <c r="AC20" t="s">
        <v>76</v>
      </c>
      <c r="AD20" t="s">
        <v>60</v>
      </c>
      <c r="AE20" t="s">
        <v>47</v>
      </c>
      <c r="AF20" t="s">
        <v>50</v>
      </c>
      <c r="AG20" t="s">
        <v>60</v>
      </c>
    </row>
    <row r="21" spans="1:33" ht="112.5">
      <c r="A21" s="13">
        <v>20</v>
      </c>
      <c r="B21" s="14" t="s">
        <v>505</v>
      </c>
      <c r="C21" s="15" t="s">
        <v>506</v>
      </c>
      <c r="D21" s="15" t="s">
        <v>507</v>
      </c>
      <c r="E21" s="15" t="s">
        <v>508</v>
      </c>
      <c r="F21" s="15" t="s">
        <v>506</v>
      </c>
      <c r="G21" s="15" t="s">
        <v>509</v>
      </c>
      <c r="H21" t="s">
        <v>525</v>
      </c>
      <c r="I21" t="s">
        <v>506</v>
      </c>
      <c r="J21" t="s">
        <v>594</v>
      </c>
      <c r="K21" t="s">
        <v>532</v>
      </c>
      <c r="L21" t="s">
        <v>493</v>
      </c>
      <c r="M21" t="s">
        <v>532</v>
      </c>
      <c r="N21" t="s">
        <v>494</v>
      </c>
      <c r="O21" t="s">
        <v>647</v>
      </c>
      <c r="P21" t="s">
        <v>630</v>
      </c>
      <c r="Q21" t="s">
        <v>525</v>
      </c>
      <c r="R21" t="s">
        <v>493</v>
      </c>
      <c r="S21" t="s">
        <v>86</v>
      </c>
      <c r="T21" t="s">
        <v>228</v>
      </c>
      <c r="U21" t="s">
        <v>712</v>
      </c>
      <c r="V21" t="s">
        <v>12</v>
      </c>
      <c r="W21" t="s">
        <v>105</v>
      </c>
      <c r="X21" t="s">
        <v>79</v>
      </c>
      <c r="Y21" t="s">
        <v>92</v>
      </c>
      <c r="Z21" t="s">
        <v>41</v>
      </c>
      <c r="AA21" t="s">
        <v>97</v>
      </c>
      <c r="AB21" t="s">
        <v>87</v>
      </c>
      <c r="AC21" t="s">
        <v>67</v>
      </c>
      <c r="AD21" t="s">
        <v>89</v>
      </c>
      <c r="AE21" t="s">
        <v>92</v>
      </c>
      <c r="AF21" t="s">
        <v>79</v>
      </c>
      <c r="AG21" t="s">
        <v>89</v>
      </c>
    </row>
    <row r="22" spans="1:33" ht="62.5">
      <c r="A22" s="10">
        <v>21</v>
      </c>
      <c r="B22" s="11" t="s">
        <v>510</v>
      </c>
      <c r="C22" s="12" t="s">
        <v>511</v>
      </c>
      <c r="D22" s="12" t="s">
        <v>481</v>
      </c>
      <c r="E22" s="12" t="s">
        <v>470</v>
      </c>
      <c r="F22" s="12" t="s">
        <v>470</v>
      </c>
      <c r="G22" s="12" t="s">
        <v>512</v>
      </c>
      <c r="H22" t="s">
        <v>516</v>
      </c>
      <c r="I22" t="s">
        <v>516</v>
      </c>
      <c r="J22" t="s">
        <v>580</v>
      </c>
      <c r="K22" t="s">
        <v>631</v>
      </c>
      <c r="L22" t="s">
        <v>624</v>
      </c>
      <c r="M22" t="s">
        <v>488</v>
      </c>
      <c r="N22" t="s">
        <v>632</v>
      </c>
      <c r="O22" t="s">
        <v>642</v>
      </c>
      <c r="P22" t="s">
        <v>624</v>
      </c>
      <c r="Q22" t="s">
        <v>486</v>
      </c>
      <c r="R22" t="s">
        <v>511</v>
      </c>
      <c r="S22" t="s">
        <v>76</v>
      </c>
      <c r="T22" t="s">
        <v>72</v>
      </c>
      <c r="U22" t="s">
        <v>228</v>
      </c>
      <c r="V22" t="s">
        <v>724</v>
      </c>
      <c r="W22" t="s">
        <v>228</v>
      </c>
      <c r="X22" t="s">
        <v>228</v>
      </c>
      <c r="Y22" t="s">
        <v>50</v>
      </c>
      <c r="Z22" t="s">
        <v>50</v>
      </c>
      <c r="AA22" t="s">
        <v>65</v>
      </c>
      <c r="AB22" t="s">
        <v>67</v>
      </c>
      <c r="AC22" t="s">
        <v>57</v>
      </c>
      <c r="AD22" t="s">
        <v>87</v>
      </c>
      <c r="AE22" t="s">
        <v>228</v>
      </c>
      <c r="AF22" t="s">
        <v>65</v>
      </c>
      <c r="AG22" t="s">
        <v>228</v>
      </c>
    </row>
    <row r="23" spans="1:33" ht="62.5">
      <c r="A23" s="13">
        <v>22</v>
      </c>
      <c r="B23" s="14" t="s">
        <v>513</v>
      </c>
      <c r="C23" s="15" t="s">
        <v>493</v>
      </c>
      <c r="D23" s="15" t="s">
        <v>514</v>
      </c>
      <c r="E23" s="15" t="s">
        <v>506</v>
      </c>
      <c r="F23" s="15" t="s">
        <v>494</v>
      </c>
      <c r="G23" s="15" t="s">
        <v>493</v>
      </c>
      <c r="H23" t="s">
        <v>580</v>
      </c>
      <c r="I23" t="s">
        <v>522</v>
      </c>
      <c r="J23" t="s">
        <v>525</v>
      </c>
      <c r="K23" t="s">
        <v>493</v>
      </c>
      <c r="L23" t="s">
        <v>587</v>
      </c>
      <c r="M23" t="s">
        <v>509</v>
      </c>
      <c r="N23" t="s">
        <v>493</v>
      </c>
      <c r="O23" t="s">
        <v>522</v>
      </c>
      <c r="P23" t="s">
        <v>494</v>
      </c>
      <c r="Q23" t="s">
        <v>522</v>
      </c>
      <c r="R23" t="s">
        <v>633</v>
      </c>
      <c r="S23" t="s">
        <v>62</v>
      </c>
      <c r="T23" t="s">
        <v>62</v>
      </c>
      <c r="U23" t="s">
        <v>74</v>
      </c>
      <c r="V23" t="s">
        <v>50</v>
      </c>
      <c r="W23" t="s">
        <v>99</v>
      </c>
      <c r="X23" t="s">
        <v>102</v>
      </c>
      <c r="Y23" t="s">
        <v>86</v>
      </c>
      <c r="Z23" t="s">
        <v>62</v>
      </c>
      <c r="AA23" t="s">
        <v>50</v>
      </c>
      <c r="AB23" t="s">
        <v>79</v>
      </c>
      <c r="AC23" t="s">
        <v>79</v>
      </c>
      <c r="AD23" t="s">
        <v>209</v>
      </c>
      <c r="AE23" t="s">
        <v>50</v>
      </c>
      <c r="AF23" t="s">
        <v>54</v>
      </c>
      <c r="AG23" t="s">
        <v>599</v>
      </c>
    </row>
    <row r="24" spans="1:33" ht="62.5">
      <c r="A24" s="10">
        <v>23</v>
      </c>
      <c r="B24" s="11" t="s">
        <v>515</v>
      </c>
      <c r="C24" s="12" t="s">
        <v>516</v>
      </c>
      <c r="D24" s="12" t="s">
        <v>516</v>
      </c>
      <c r="E24" s="12" t="s">
        <v>511</v>
      </c>
      <c r="F24" s="12" t="s">
        <v>516</v>
      </c>
      <c r="G24" s="12" t="s">
        <v>511</v>
      </c>
      <c r="H24" t="s">
        <v>581</v>
      </c>
      <c r="I24" t="s">
        <v>586</v>
      </c>
      <c r="J24" t="s">
        <v>595</v>
      </c>
      <c r="K24" t="s">
        <v>634</v>
      </c>
      <c r="L24" t="s">
        <v>635</v>
      </c>
      <c r="M24" t="s">
        <v>503</v>
      </c>
      <c r="N24" t="s">
        <v>523</v>
      </c>
      <c r="O24" t="s">
        <v>498</v>
      </c>
      <c r="P24" t="s">
        <v>516</v>
      </c>
      <c r="Q24" t="s">
        <v>506</v>
      </c>
      <c r="R24" t="s">
        <v>635</v>
      </c>
      <c r="S24" t="s">
        <v>87</v>
      </c>
      <c r="T24" t="s">
        <v>65</v>
      </c>
      <c r="U24" t="s">
        <v>79</v>
      </c>
      <c r="V24" t="s">
        <v>26</v>
      </c>
      <c r="W24" t="s">
        <v>65</v>
      </c>
      <c r="X24" t="s">
        <v>82</v>
      </c>
      <c r="Y24" t="s">
        <v>57</v>
      </c>
      <c r="Z24" t="s">
        <v>228</v>
      </c>
      <c r="AA24" t="s">
        <v>57</v>
      </c>
      <c r="AB24" t="s">
        <v>84</v>
      </c>
      <c r="AC24" t="s">
        <v>65</v>
      </c>
      <c r="AD24" t="s">
        <v>84</v>
      </c>
      <c r="AE24" t="s">
        <v>57</v>
      </c>
      <c r="AF24" t="s">
        <v>84</v>
      </c>
      <c r="AG24" t="s">
        <v>57</v>
      </c>
    </row>
    <row r="25" spans="1:33" ht="62.5">
      <c r="A25" s="13">
        <v>24</v>
      </c>
      <c r="B25" s="14" t="s">
        <v>517</v>
      </c>
      <c r="C25" s="15" t="s">
        <v>518</v>
      </c>
      <c r="D25" s="15" t="s">
        <v>494</v>
      </c>
      <c r="E25" s="15" t="s">
        <v>518</v>
      </c>
      <c r="F25" s="15" t="s">
        <v>518</v>
      </c>
      <c r="G25" s="15" t="s">
        <v>516</v>
      </c>
      <c r="H25" t="s">
        <v>512</v>
      </c>
      <c r="I25" t="s">
        <v>512</v>
      </c>
      <c r="J25" t="s">
        <v>596</v>
      </c>
      <c r="K25" t="s">
        <v>518</v>
      </c>
      <c r="L25" t="s">
        <v>498</v>
      </c>
      <c r="M25" t="s">
        <v>518</v>
      </c>
      <c r="N25" t="s">
        <v>636</v>
      </c>
      <c r="O25" t="s">
        <v>523</v>
      </c>
      <c r="P25" t="s">
        <v>511</v>
      </c>
      <c r="Q25" t="s">
        <v>518</v>
      </c>
      <c r="R25" t="s">
        <v>488</v>
      </c>
      <c r="S25" t="s">
        <v>74</v>
      </c>
      <c r="T25" t="s">
        <v>74</v>
      </c>
      <c r="U25" t="s">
        <v>72</v>
      </c>
      <c r="V25" t="s">
        <v>72</v>
      </c>
      <c r="W25" t="s">
        <v>57</v>
      </c>
      <c r="X25" t="s">
        <v>87</v>
      </c>
      <c r="Y25" t="s">
        <v>87</v>
      </c>
      <c r="Z25" t="s">
        <v>89</v>
      </c>
      <c r="AA25" t="s">
        <v>87</v>
      </c>
      <c r="AB25" t="s">
        <v>82</v>
      </c>
      <c r="AC25" t="s">
        <v>82</v>
      </c>
      <c r="AD25" t="s">
        <v>76</v>
      </c>
      <c r="AE25" t="s">
        <v>82</v>
      </c>
      <c r="AF25" t="s">
        <v>76</v>
      </c>
      <c r="AG25" t="s">
        <v>76</v>
      </c>
    </row>
    <row r="26" spans="1:33" ht="62.5">
      <c r="A26" s="10">
        <v>25</v>
      </c>
      <c r="B26" s="11" t="s">
        <v>519</v>
      </c>
      <c r="C26" s="12" t="s">
        <v>520</v>
      </c>
      <c r="D26" s="12" t="s">
        <v>521</v>
      </c>
      <c r="E26" s="12" t="s">
        <v>522</v>
      </c>
      <c r="F26" s="12" t="s">
        <v>523</v>
      </c>
      <c r="G26" s="12" t="s">
        <v>522</v>
      </c>
      <c r="H26" t="s">
        <v>506</v>
      </c>
      <c r="I26" t="s">
        <v>587</v>
      </c>
      <c r="J26" t="s">
        <v>503</v>
      </c>
      <c r="K26" t="s">
        <v>522</v>
      </c>
      <c r="L26" t="s">
        <v>523</v>
      </c>
      <c r="M26" t="s">
        <v>516</v>
      </c>
      <c r="N26" t="s">
        <v>503</v>
      </c>
      <c r="O26" t="s">
        <v>506</v>
      </c>
      <c r="P26" t="s">
        <v>514</v>
      </c>
      <c r="Q26" t="s">
        <v>470</v>
      </c>
      <c r="R26" t="s">
        <v>506</v>
      </c>
      <c r="S26" t="s">
        <v>72</v>
      </c>
      <c r="T26" t="s">
        <v>82</v>
      </c>
      <c r="U26" t="s">
        <v>65</v>
      </c>
      <c r="V26" t="s">
        <v>41</v>
      </c>
      <c r="W26" t="s">
        <v>74</v>
      </c>
      <c r="X26" t="s">
        <v>97</v>
      </c>
      <c r="Y26" t="s">
        <v>99</v>
      </c>
      <c r="Z26" t="s">
        <v>79</v>
      </c>
      <c r="AA26" t="s">
        <v>599</v>
      </c>
      <c r="AB26" t="s">
        <v>102</v>
      </c>
      <c r="AC26" t="s">
        <v>74</v>
      </c>
      <c r="AD26" t="s">
        <v>99</v>
      </c>
      <c r="AE26" t="s">
        <v>102</v>
      </c>
      <c r="AF26" t="s">
        <v>102</v>
      </c>
      <c r="AG26" t="s">
        <v>79</v>
      </c>
    </row>
    <row r="27" spans="1:33" ht="62.5">
      <c r="A27" s="13">
        <v>26</v>
      </c>
      <c r="B27" s="14" t="s">
        <v>524</v>
      </c>
      <c r="C27" s="15" t="s">
        <v>525</v>
      </c>
      <c r="D27" s="15" t="s">
        <v>506</v>
      </c>
      <c r="E27" s="15" t="s">
        <v>514</v>
      </c>
      <c r="F27" s="15" t="s">
        <v>512</v>
      </c>
      <c r="G27" s="15" t="s">
        <v>502</v>
      </c>
      <c r="H27" t="s">
        <v>530</v>
      </c>
      <c r="I27" t="s">
        <v>588</v>
      </c>
      <c r="J27" t="s">
        <v>589</v>
      </c>
      <c r="K27" t="s">
        <v>630</v>
      </c>
      <c r="L27" t="s">
        <v>637</v>
      </c>
      <c r="M27" t="s">
        <v>502</v>
      </c>
      <c r="N27" t="s">
        <v>638</v>
      </c>
      <c r="O27" t="s">
        <v>536</v>
      </c>
      <c r="P27" t="s">
        <v>512</v>
      </c>
      <c r="Q27" t="s">
        <v>520</v>
      </c>
      <c r="R27" t="s">
        <v>496</v>
      </c>
      <c r="S27" t="s">
        <v>217</v>
      </c>
      <c r="T27" t="s">
        <v>711</v>
      </c>
      <c r="U27" t="s">
        <v>99</v>
      </c>
      <c r="V27" t="s">
        <v>725</v>
      </c>
      <c r="W27" t="s">
        <v>67</v>
      </c>
      <c r="X27" t="s">
        <v>76</v>
      </c>
      <c r="Y27" t="s">
        <v>69</v>
      </c>
      <c r="Z27" t="s">
        <v>76</v>
      </c>
      <c r="AA27" t="s">
        <v>92</v>
      </c>
      <c r="AB27" t="s">
        <v>97</v>
      </c>
      <c r="AC27" t="s">
        <v>217</v>
      </c>
      <c r="AD27" t="s">
        <v>92</v>
      </c>
      <c r="AE27" t="s">
        <v>79</v>
      </c>
      <c r="AF27" t="s">
        <v>209</v>
      </c>
      <c r="AG27" t="s">
        <v>97</v>
      </c>
    </row>
    <row r="28" spans="1:33" ht="62.5">
      <c r="A28" s="10">
        <v>27</v>
      </c>
      <c r="B28" s="11" t="s">
        <v>526</v>
      </c>
      <c r="C28" s="12" t="s">
        <v>496</v>
      </c>
      <c r="D28" s="12" t="s">
        <v>511</v>
      </c>
      <c r="E28" s="12" t="s">
        <v>523</v>
      </c>
      <c r="F28" s="12" t="s">
        <v>503</v>
      </c>
      <c r="G28" s="12" t="s">
        <v>525</v>
      </c>
      <c r="H28" t="s">
        <v>518</v>
      </c>
      <c r="I28" t="s">
        <v>523</v>
      </c>
      <c r="J28" t="s">
        <v>523</v>
      </c>
      <c r="K28" t="s">
        <v>512</v>
      </c>
      <c r="L28" t="s">
        <v>516</v>
      </c>
      <c r="M28" t="s">
        <v>525</v>
      </c>
      <c r="N28" t="s">
        <v>496</v>
      </c>
      <c r="O28" t="s">
        <v>518</v>
      </c>
      <c r="P28" t="s">
        <v>523</v>
      </c>
      <c r="Q28" t="s">
        <v>523</v>
      </c>
      <c r="R28" t="s">
        <v>523</v>
      </c>
      <c r="S28" t="s">
        <v>82</v>
      </c>
      <c r="T28" t="s">
        <v>84</v>
      </c>
      <c r="U28" t="s">
        <v>105</v>
      </c>
      <c r="V28" t="s">
        <v>44</v>
      </c>
      <c r="W28" t="s">
        <v>76</v>
      </c>
      <c r="X28" t="s">
        <v>74</v>
      </c>
      <c r="Y28" t="s">
        <v>82</v>
      </c>
      <c r="Z28" t="s">
        <v>82</v>
      </c>
      <c r="AA28" t="s">
        <v>82</v>
      </c>
      <c r="AB28" t="s">
        <v>76</v>
      </c>
      <c r="AC28" t="s">
        <v>84</v>
      </c>
      <c r="AD28" t="s">
        <v>599</v>
      </c>
      <c r="AE28" t="s">
        <v>65</v>
      </c>
      <c r="AF28" t="s">
        <v>228</v>
      </c>
      <c r="AG28" t="s">
        <v>82</v>
      </c>
    </row>
    <row r="29" spans="1:33" ht="112.5">
      <c r="A29" s="13">
        <v>28</v>
      </c>
      <c r="B29" s="14" t="s">
        <v>527</v>
      </c>
      <c r="C29" s="15" t="s">
        <v>514</v>
      </c>
      <c r="D29" s="15" t="s">
        <v>528</v>
      </c>
      <c r="E29" s="15" t="s">
        <v>529</v>
      </c>
      <c r="F29" s="15" t="s">
        <v>530</v>
      </c>
      <c r="G29" s="15" t="s">
        <v>498</v>
      </c>
      <c r="H29" t="s">
        <v>511</v>
      </c>
      <c r="I29" t="s">
        <v>589</v>
      </c>
      <c r="J29" t="s">
        <v>516</v>
      </c>
      <c r="K29" t="s">
        <v>523</v>
      </c>
      <c r="L29" t="s">
        <v>639</v>
      </c>
      <c r="M29" t="s">
        <v>640</v>
      </c>
      <c r="N29" t="s">
        <v>641</v>
      </c>
      <c r="O29" t="s">
        <v>502</v>
      </c>
      <c r="P29" t="s">
        <v>642</v>
      </c>
      <c r="Q29" t="s">
        <v>643</v>
      </c>
      <c r="R29" t="s">
        <v>522</v>
      </c>
      <c r="S29" t="s">
        <v>99</v>
      </c>
      <c r="T29" t="s">
        <v>99</v>
      </c>
      <c r="U29" t="s">
        <v>87</v>
      </c>
      <c r="V29" t="s">
        <v>65</v>
      </c>
      <c r="W29" t="s">
        <v>82</v>
      </c>
      <c r="X29" t="s">
        <v>65</v>
      </c>
      <c r="Y29" t="s">
        <v>65</v>
      </c>
      <c r="Z29" t="s">
        <v>65</v>
      </c>
      <c r="AA29" t="s">
        <v>99</v>
      </c>
      <c r="AB29" t="s">
        <v>65</v>
      </c>
      <c r="AC29" t="s">
        <v>209</v>
      </c>
      <c r="AD29" t="s">
        <v>69</v>
      </c>
      <c r="AE29" t="s">
        <v>99</v>
      </c>
      <c r="AF29" t="s">
        <v>99</v>
      </c>
      <c r="AG29" t="s">
        <v>65</v>
      </c>
    </row>
    <row r="30" spans="1:33" ht="87.5">
      <c r="A30" s="10">
        <v>29</v>
      </c>
      <c r="B30" s="11" t="s">
        <v>531</v>
      </c>
      <c r="C30" s="12" t="s">
        <v>532</v>
      </c>
      <c r="D30" s="12" t="s">
        <v>532</v>
      </c>
      <c r="E30" s="12" t="s">
        <v>533</v>
      </c>
      <c r="F30" s="12" t="s">
        <v>509</v>
      </c>
      <c r="G30" s="12" t="s">
        <v>532</v>
      </c>
      <c r="H30" t="s">
        <v>582</v>
      </c>
      <c r="I30" t="s">
        <v>530</v>
      </c>
      <c r="J30" t="s">
        <v>597</v>
      </c>
      <c r="K30" t="s">
        <v>644</v>
      </c>
      <c r="L30" t="s">
        <v>512</v>
      </c>
      <c r="M30" t="s">
        <v>645</v>
      </c>
      <c r="N30" t="s">
        <v>525</v>
      </c>
      <c r="O30" t="s">
        <v>532</v>
      </c>
      <c r="P30" t="s">
        <v>532</v>
      </c>
      <c r="Q30" t="s">
        <v>646</v>
      </c>
      <c r="R30" t="s">
        <v>532</v>
      </c>
      <c r="S30" t="s">
        <v>102</v>
      </c>
      <c r="T30" t="s">
        <v>89</v>
      </c>
      <c r="U30" t="s">
        <v>217</v>
      </c>
      <c r="V30" t="s">
        <v>47</v>
      </c>
      <c r="W30" t="s">
        <v>217</v>
      </c>
      <c r="X30" t="s">
        <v>89</v>
      </c>
      <c r="Y30" t="s">
        <v>89</v>
      </c>
      <c r="Z30" t="s">
        <v>99</v>
      </c>
      <c r="AA30" t="s">
        <v>86</v>
      </c>
      <c r="AB30" t="s">
        <v>86</v>
      </c>
      <c r="AC30" t="s">
        <v>102</v>
      </c>
      <c r="AD30" t="s">
        <v>228</v>
      </c>
      <c r="AE30" t="s">
        <v>86</v>
      </c>
      <c r="AF30" t="s">
        <v>69</v>
      </c>
      <c r="AG30" t="s">
        <v>102</v>
      </c>
    </row>
    <row r="31" spans="1:33" ht="100">
      <c r="A31" s="13">
        <v>30</v>
      </c>
      <c r="B31" s="14" t="s">
        <v>534</v>
      </c>
      <c r="C31" s="15" t="s">
        <v>530</v>
      </c>
      <c r="D31" s="15" t="s">
        <v>530</v>
      </c>
      <c r="E31" s="15" t="s">
        <v>494</v>
      </c>
      <c r="F31" s="15" t="s">
        <v>532</v>
      </c>
      <c r="G31" s="15" t="s">
        <v>506</v>
      </c>
      <c r="H31" t="s">
        <v>523</v>
      </c>
      <c r="I31" t="s">
        <v>518</v>
      </c>
      <c r="J31" t="s">
        <v>532</v>
      </c>
      <c r="K31" t="s">
        <v>506</v>
      </c>
      <c r="L31" t="s">
        <v>488</v>
      </c>
      <c r="M31" t="s">
        <v>582</v>
      </c>
      <c r="N31" t="s">
        <v>509</v>
      </c>
      <c r="O31" t="s">
        <v>512</v>
      </c>
      <c r="P31" t="s">
        <v>518</v>
      </c>
      <c r="Q31" t="s">
        <v>532</v>
      </c>
      <c r="R31" t="s">
        <v>518</v>
      </c>
      <c r="S31" t="s">
        <v>79</v>
      </c>
      <c r="T31" t="s">
        <v>87</v>
      </c>
      <c r="U31" t="s">
        <v>84</v>
      </c>
      <c r="V31" t="s">
        <v>62</v>
      </c>
      <c r="W31" t="s">
        <v>69</v>
      </c>
      <c r="X31" t="s">
        <v>105</v>
      </c>
      <c r="Y31" t="s">
        <v>105</v>
      </c>
      <c r="Z31" t="s">
        <v>60</v>
      </c>
      <c r="AA31" t="s">
        <v>89</v>
      </c>
      <c r="AB31" t="s">
        <v>89</v>
      </c>
      <c r="AC31" t="s">
        <v>99</v>
      </c>
      <c r="AD31" t="s">
        <v>103</v>
      </c>
      <c r="AE31" t="s">
        <v>74</v>
      </c>
      <c r="AF31" t="s">
        <v>599</v>
      </c>
      <c r="AG31" t="s">
        <v>86</v>
      </c>
    </row>
    <row r="32" spans="1:33" ht="62.5">
      <c r="A32" s="10">
        <v>31</v>
      </c>
      <c r="B32" s="11" t="s">
        <v>535</v>
      </c>
      <c r="C32" s="12" t="s">
        <v>523</v>
      </c>
      <c r="D32" s="12" t="s">
        <v>493</v>
      </c>
      <c r="E32" s="12" t="s">
        <v>521</v>
      </c>
      <c r="F32" s="12" t="s">
        <v>511</v>
      </c>
      <c r="G32" s="12" t="s">
        <v>536</v>
      </c>
      <c r="H32" t="s">
        <v>509</v>
      </c>
      <c r="I32" t="s">
        <v>511</v>
      </c>
      <c r="J32" t="s">
        <v>511</v>
      </c>
      <c r="K32" t="s">
        <v>511</v>
      </c>
      <c r="L32" t="s">
        <v>522</v>
      </c>
      <c r="M32" t="s">
        <v>511</v>
      </c>
      <c r="N32" t="s">
        <v>514</v>
      </c>
      <c r="O32" t="s">
        <v>511</v>
      </c>
      <c r="P32" t="s">
        <v>525</v>
      </c>
      <c r="Q32" t="s">
        <v>511</v>
      </c>
      <c r="R32" t="s">
        <v>512</v>
      </c>
      <c r="S32" t="s">
        <v>65</v>
      </c>
      <c r="T32" t="s">
        <v>67</v>
      </c>
      <c r="U32" t="s">
        <v>711</v>
      </c>
      <c r="V32" t="s">
        <v>54</v>
      </c>
      <c r="W32" t="s">
        <v>103</v>
      </c>
      <c r="X32" t="s">
        <v>84</v>
      </c>
      <c r="Y32" t="s">
        <v>76</v>
      </c>
      <c r="Z32" t="s">
        <v>131</v>
      </c>
      <c r="AA32" t="s">
        <v>84</v>
      </c>
      <c r="AB32" t="s">
        <v>69</v>
      </c>
      <c r="AC32" t="s">
        <v>72</v>
      </c>
      <c r="AD32" t="s">
        <v>217</v>
      </c>
      <c r="AE32" t="s">
        <v>84</v>
      </c>
      <c r="AF32" t="s">
        <v>97</v>
      </c>
      <c r="AG32" t="s">
        <v>84</v>
      </c>
    </row>
    <row r="33" spans="1:33" ht="100">
      <c r="A33" s="13">
        <v>32</v>
      </c>
      <c r="B33" s="14" t="s">
        <v>537</v>
      </c>
      <c r="C33" s="15" t="s">
        <v>522</v>
      </c>
      <c r="D33" s="15" t="s">
        <v>538</v>
      </c>
      <c r="E33" s="15" t="s">
        <v>530</v>
      </c>
      <c r="F33" s="15" t="s">
        <v>525</v>
      </c>
      <c r="G33" s="15" t="s">
        <v>539</v>
      </c>
      <c r="H33" t="s">
        <v>583</v>
      </c>
      <c r="I33" t="s">
        <v>538</v>
      </c>
      <c r="J33" t="s">
        <v>522</v>
      </c>
      <c r="K33" t="s">
        <v>509</v>
      </c>
      <c r="L33" t="s">
        <v>647</v>
      </c>
      <c r="M33" t="s">
        <v>538</v>
      </c>
      <c r="N33" t="s">
        <v>538</v>
      </c>
      <c r="O33" t="s">
        <v>525</v>
      </c>
      <c r="P33" t="s">
        <v>509</v>
      </c>
      <c r="Q33" t="s">
        <v>538</v>
      </c>
      <c r="R33" t="s">
        <v>509</v>
      </c>
      <c r="S33" t="s">
        <v>89</v>
      </c>
      <c r="T33" t="s">
        <v>86</v>
      </c>
      <c r="U33" t="s">
        <v>76</v>
      </c>
      <c r="V33" t="s">
        <v>726</v>
      </c>
      <c r="W33" t="s">
        <v>86</v>
      </c>
      <c r="X33" t="s">
        <v>69</v>
      </c>
      <c r="Y33" t="s">
        <v>94</v>
      </c>
      <c r="Z33" t="s">
        <v>117</v>
      </c>
      <c r="AA33" t="s">
        <v>69</v>
      </c>
      <c r="AB33" t="s">
        <v>94</v>
      </c>
      <c r="AC33" t="s">
        <v>92</v>
      </c>
      <c r="AD33" t="s">
        <v>79</v>
      </c>
      <c r="AE33" t="s">
        <v>105</v>
      </c>
      <c r="AF33" t="s">
        <v>94</v>
      </c>
      <c r="AG33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F1D7-A2C2-4A68-A31B-EB1BE12B6E3C}">
  <dimension ref="A1:EK70"/>
  <sheetViews>
    <sheetView topLeftCell="C1" workbookViewId="0">
      <pane ySplit="1" topLeftCell="A45" activePane="bottomLeft" state="frozen"/>
      <selection activeCell="H1" sqref="H1"/>
      <selection pane="bottomLeft" activeCell="C51" sqref="C51"/>
    </sheetView>
  </sheetViews>
  <sheetFormatPr defaultRowHeight="14.5"/>
  <cols>
    <col min="1" max="1" width="17" customWidth="1"/>
    <col min="2" max="2" width="20" customWidth="1"/>
    <col min="3" max="8" width="29.08984375" customWidth="1"/>
    <col min="9" max="10" width="17.26953125" customWidth="1"/>
    <col min="11" max="12" width="17.26953125" style="1" customWidth="1"/>
    <col min="13" max="22" width="10.90625" style="1" hidden="1" customWidth="1"/>
    <col min="23" max="28" width="0" hidden="1" customWidth="1"/>
    <col min="41" max="41" width="25.453125" customWidth="1"/>
    <col min="42" max="44" width="9.08984375" hidden="1" customWidth="1"/>
    <col min="45" max="45" width="25.453125" customWidth="1"/>
    <col min="46" max="48" width="9.08984375" hidden="1" customWidth="1"/>
    <col min="49" max="49" width="25.453125" customWidth="1"/>
    <col min="50" max="52" width="9.08984375" hidden="1" customWidth="1"/>
    <col min="53" max="53" width="25.453125" customWidth="1"/>
    <col min="54" max="56" width="9.08984375" hidden="1" customWidth="1"/>
    <col min="57" max="57" width="25.453125" customWidth="1"/>
    <col min="58" max="60" width="9.08984375" hidden="1" customWidth="1"/>
    <col min="61" max="61" width="25.453125" customWidth="1"/>
    <col min="62" max="64" width="9.08984375" hidden="1" customWidth="1"/>
    <col min="65" max="65" width="25.453125" customWidth="1"/>
    <col min="66" max="68" width="9.08984375" hidden="1" customWidth="1"/>
    <col min="69" max="69" width="25.453125" customWidth="1"/>
    <col min="70" max="72" width="9.08984375" hidden="1" customWidth="1"/>
    <col min="74" max="76" width="0" hidden="1" customWidth="1"/>
    <col min="79" max="80" width="0" hidden="1" customWidth="1"/>
    <col min="98" max="100" width="0" hidden="1" customWidth="1"/>
    <col min="102" max="104" width="0" hidden="1" customWidth="1"/>
    <col min="106" max="108" width="0" hidden="1" customWidth="1"/>
    <col min="110" max="112" width="0" hidden="1" customWidth="1"/>
    <col min="114" max="116" width="0" hidden="1" customWidth="1"/>
    <col min="118" max="120" width="0" hidden="1" customWidth="1"/>
    <col min="122" max="141" width="0" hidden="1" customWidth="1"/>
  </cols>
  <sheetData>
    <row r="1" spans="1:141" ht="35" customHeight="1">
      <c r="A1" s="29" t="s">
        <v>449</v>
      </c>
      <c r="B1" s="29" t="s">
        <v>540</v>
      </c>
      <c r="C1" s="29" t="s">
        <v>541</v>
      </c>
      <c r="D1" s="29" t="s">
        <v>542</v>
      </c>
      <c r="E1" s="29" t="s">
        <v>450</v>
      </c>
      <c r="F1" s="29" t="s">
        <v>451</v>
      </c>
      <c r="G1" s="29" t="s">
        <v>452</v>
      </c>
      <c r="H1" s="29" t="s">
        <v>453</v>
      </c>
      <c r="I1" s="29" t="s">
        <v>454</v>
      </c>
      <c r="J1" s="23"/>
      <c r="K1" s="23" t="s">
        <v>543</v>
      </c>
      <c r="L1" s="23" t="s">
        <v>544</v>
      </c>
      <c r="M1" s="23" t="s">
        <v>545</v>
      </c>
      <c r="N1" s="23" t="s">
        <v>546</v>
      </c>
      <c r="O1" s="23" t="s">
        <v>547</v>
      </c>
      <c r="P1" s="23" t="s">
        <v>548</v>
      </c>
      <c r="Q1" s="23" t="s">
        <v>549</v>
      </c>
      <c r="R1" s="23" t="s">
        <v>550</v>
      </c>
      <c r="S1" s="23" t="s">
        <v>551</v>
      </c>
      <c r="T1" s="23" t="s">
        <v>552</v>
      </c>
      <c r="U1" s="23" t="s">
        <v>553</v>
      </c>
      <c r="V1" s="23" t="s">
        <v>554</v>
      </c>
      <c r="W1" s="19" t="s">
        <v>556</v>
      </c>
      <c r="X1" s="19" t="s">
        <v>557</v>
      </c>
      <c r="Y1" s="19" t="s">
        <v>558</v>
      </c>
      <c r="Z1" s="19" t="s">
        <v>559</v>
      </c>
      <c r="AA1" s="19" t="s">
        <v>560</v>
      </c>
      <c r="AB1" s="19" t="s">
        <v>561</v>
      </c>
      <c r="AC1" s="34" t="s">
        <v>574</v>
      </c>
      <c r="AD1" s="34" t="s">
        <v>575</v>
      </c>
      <c r="AE1" s="34" t="s">
        <v>576</v>
      </c>
      <c r="AF1" s="34" t="s">
        <v>600</v>
      </c>
      <c r="AG1" s="34" t="s">
        <v>601</v>
      </c>
      <c r="AH1" s="34" t="s">
        <v>602</v>
      </c>
      <c r="AI1" s="34" t="s">
        <v>603</v>
      </c>
      <c r="AJ1" s="34" t="s">
        <v>604</v>
      </c>
      <c r="AK1" s="34" t="s">
        <v>605</v>
      </c>
      <c r="AL1" s="34" t="s">
        <v>606</v>
      </c>
      <c r="AM1" s="34" t="s">
        <v>607</v>
      </c>
      <c r="AN1" s="34" t="s">
        <v>608</v>
      </c>
      <c r="AO1" s="49" t="s">
        <v>648</v>
      </c>
      <c r="AP1" s="49" t="s">
        <v>649</v>
      </c>
      <c r="AQ1" s="49" t="s">
        <v>650</v>
      </c>
      <c r="AR1" s="49" t="s">
        <v>651</v>
      </c>
      <c r="AS1" s="49" t="s">
        <v>610</v>
      </c>
      <c r="AT1" s="49" t="s">
        <v>652</v>
      </c>
      <c r="AU1" s="49" t="s">
        <v>653</v>
      </c>
      <c r="AV1" s="49" t="s">
        <v>654</v>
      </c>
      <c r="AW1" s="49" t="s">
        <v>655</v>
      </c>
      <c r="AX1" s="49" t="s">
        <v>656</v>
      </c>
      <c r="AY1" s="49" t="s">
        <v>657</v>
      </c>
      <c r="AZ1" s="49" t="s">
        <v>658</v>
      </c>
      <c r="BA1" s="49" t="s">
        <v>659</v>
      </c>
      <c r="BB1" s="49" t="s">
        <v>660</v>
      </c>
      <c r="BC1" s="49" t="s">
        <v>661</v>
      </c>
      <c r="BD1" s="49" t="s">
        <v>662</v>
      </c>
      <c r="BE1" s="49" t="s">
        <v>663</v>
      </c>
      <c r="BF1" s="49" t="s">
        <v>664</v>
      </c>
      <c r="BG1" s="49" t="s">
        <v>665</v>
      </c>
      <c r="BH1" s="49" t="s">
        <v>666</v>
      </c>
      <c r="BI1" s="49" t="s">
        <v>667</v>
      </c>
      <c r="BJ1" s="49" t="s">
        <v>668</v>
      </c>
      <c r="BK1" s="49" t="s">
        <v>669</v>
      </c>
      <c r="BL1" s="49" t="s">
        <v>670</v>
      </c>
      <c r="BM1" s="49" t="s">
        <v>671</v>
      </c>
      <c r="BN1" s="49" t="s">
        <v>672</v>
      </c>
      <c r="BO1" s="49" t="s">
        <v>673</v>
      </c>
      <c r="BP1" s="49" t="s">
        <v>674</v>
      </c>
      <c r="BQ1" s="49" t="s">
        <v>675</v>
      </c>
      <c r="BR1" s="49" t="s">
        <v>676</v>
      </c>
      <c r="BS1" s="49" t="s">
        <v>677</v>
      </c>
      <c r="BT1" s="49" t="s">
        <v>678</v>
      </c>
      <c r="BU1" s="77" t="s">
        <v>694</v>
      </c>
      <c r="BV1" s="49" t="s">
        <v>695</v>
      </c>
      <c r="BW1" s="49" t="s">
        <v>696</v>
      </c>
      <c r="BX1" s="49" t="s">
        <v>697</v>
      </c>
      <c r="CA1" t="s">
        <v>7</v>
      </c>
      <c r="CB1" t="s">
        <v>383</v>
      </c>
      <c r="CC1" s="16" t="s">
        <v>707</v>
      </c>
      <c r="CD1" s="16" t="s">
        <v>727</v>
      </c>
      <c r="CE1" s="16" t="s">
        <v>728</v>
      </c>
      <c r="CF1" s="16" t="s">
        <v>729</v>
      </c>
      <c r="CG1" s="16" t="s">
        <v>730</v>
      </c>
      <c r="CH1" s="16" t="s">
        <v>731</v>
      </c>
      <c r="CI1" s="16" t="s">
        <v>732</v>
      </c>
      <c r="CJ1" s="16" t="s">
        <v>733</v>
      </c>
      <c r="CK1" s="16" t="s">
        <v>734</v>
      </c>
      <c r="CL1" s="16" t="s">
        <v>735</v>
      </c>
      <c r="CM1" s="16" t="s">
        <v>736</v>
      </c>
      <c r="CN1" s="16" t="s">
        <v>737</v>
      </c>
      <c r="CO1" s="16" t="s">
        <v>738</v>
      </c>
      <c r="CP1" s="16" t="s">
        <v>739</v>
      </c>
      <c r="CQ1" s="16" t="s">
        <v>740</v>
      </c>
      <c r="CR1" s="16" t="s">
        <v>741</v>
      </c>
      <c r="CS1" s="16" t="s">
        <v>750</v>
      </c>
      <c r="CT1" s="16" t="s">
        <v>751</v>
      </c>
      <c r="CU1" s="16" t="s">
        <v>752</v>
      </c>
      <c r="CV1" s="16" t="s">
        <v>753</v>
      </c>
      <c r="CW1" s="16" t="s">
        <v>781</v>
      </c>
      <c r="CX1" s="16" t="s">
        <v>782</v>
      </c>
      <c r="CY1" s="16" t="s">
        <v>783</v>
      </c>
      <c r="CZ1" s="16" t="s">
        <v>784</v>
      </c>
      <c r="DA1" s="16" t="s">
        <v>785</v>
      </c>
      <c r="DB1" s="16" t="s">
        <v>786</v>
      </c>
      <c r="DC1" s="16" t="s">
        <v>787</v>
      </c>
      <c r="DD1" s="16" t="s">
        <v>788</v>
      </c>
      <c r="DE1" s="16" t="s">
        <v>789</v>
      </c>
      <c r="DF1" s="16" t="s">
        <v>790</v>
      </c>
      <c r="DG1" s="16" t="s">
        <v>791</v>
      </c>
      <c r="DH1" s="16" t="s">
        <v>792</v>
      </c>
      <c r="DI1" s="16" t="s">
        <v>793</v>
      </c>
      <c r="DJ1" s="16" t="s">
        <v>794</v>
      </c>
      <c r="DK1" s="16" t="s">
        <v>795</v>
      </c>
      <c r="DL1" s="16" t="s">
        <v>796</v>
      </c>
      <c r="DM1" s="16" t="s">
        <v>748</v>
      </c>
      <c r="DN1" s="16" t="s">
        <v>763</v>
      </c>
      <c r="DO1" s="16" t="s">
        <v>764</v>
      </c>
      <c r="DP1" s="16" t="s">
        <v>765</v>
      </c>
      <c r="DQ1" s="16" t="s">
        <v>766</v>
      </c>
      <c r="DR1" s="16" t="s">
        <v>767</v>
      </c>
      <c r="DS1" s="16" t="s">
        <v>768</v>
      </c>
      <c r="DT1" s="16" t="s">
        <v>769</v>
      </c>
      <c r="DU1" s="16" t="s">
        <v>800</v>
      </c>
      <c r="DV1" s="16" t="s">
        <v>754</v>
      </c>
      <c r="DW1" s="16" t="s">
        <v>755</v>
      </c>
      <c r="DX1" s="16" t="s">
        <v>756</v>
      </c>
      <c r="DY1" t="s">
        <v>801</v>
      </c>
      <c r="DZ1" s="16" t="s">
        <v>757</v>
      </c>
      <c r="EA1" s="16" t="s">
        <v>758</v>
      </c>
      <c r="EB1" s="16" t="s">
        <v>759</v>
      </c>
      <c r="EC1" t="s">
        <v>802</v>
      </c>
      <c r="ED1" s="16" t="s">
        <v>760</v>
      </c>
      <c r="EE1" s="16" t="s">
        <v>761</v>
      </c>
      <c r="EF1" s="16" t="s">
        <v>762</v>
      </c>
      <c r="EG1" t="s">
        <v>803</v>
      </c>
      <c r="EH1" s="16" t="s">
        <v>808</v>
      </c>
      <c r="EI1" s="16" t="s">
        <v>809</v>
      </c>
      <c r="EJ1" s="16" t="s">
        <v>810</v>
      </c>
      <c r="EK1" s="16" t="s">
        <v>812</v>
      </c>
    </row>
    <row r="2" spans="1:141">
      <c r="A2" s="30">
        <v>1</v>
      </c>
      <c r="B2" s="30" t="str">
        <f>'Actual nfl first round'!C2</f>
        <v>Raiders</v>
      </c>
      <c r="C2" s="31" t="str" cm="1">
        <f t="array" ref="C2">_xlfn.LET(_xlpm.actual, 'Actual nfl first round'!D2,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Fernando Mendoza</v>
      </c>
      <c r="D2" s="32" t="str">
        <f>'Colin''s Mock'!D2</f>
        <v>Fernando Mendoza</v>
      </c>
      <c r="E2" s="32" t="str">
        <f>_xlfn.LET(_xlpm.raw, 'Other analyst '!C2, _xlpm.s, IF(LEFT(_xlpm.raw,1)="[", MID(_xlpm.raw, FIND("] ",_xlpm.raw)+2, 999), _xlpm.raw), IFERROR(TRIM(LEFT(_xlpm.s, FIND(" (",_xlpm.s)-1)), _xlpm.raw))</f>
        <v>Fernando Mendoza</v>
      </c>
      <c r="F2" s="32" t="str">
        <f>_xlfn.LET(_xlpm.raw, 'Other analyst '!D2, _xlpm.s, IF(LEFT(_xlpm.raw,1)="[", MID(_xlpm.raw, FIND("] ",_xlpm.raw)+2, 999), _xlpm.raw), IFERROR(TRIM(LEFT(_xlpm.s, FIND(" (",_xlpm.s)-1)), _xlpm.raw))</f>
        <v>Fernando Mendoza</v>
      </c>
      <c r="G2" s="32" t="str">
        <f>_xlfn.LET(_xlpm.raw, 'Other analyst '!E2, _xlpm.s, IF(LEFT(_xlpm.raw,1)="[", MID(_xlpm.raw, FIND("] ",_xlpm.raw)+2, 999), _xlpm.raw), IFERROR(TRIM(LEFT(_xlpm.s, FIND(" (",_xlpm.s)-1)), _xlpm.raw))</f>
        <v>Fernando Mendoza</v>
      </c>
      <c r="H2" s="32" t="str">
        <f>_xlfn.LET(_xlpm.raw, 'Other analyst '!F2, _xlpm.s, IF(LEFT(_xlpm.raw,1)="[", MID(_xlpm.raw, FIND("] ",_xlpm.raw)+2, 999), _xlpm.raw), IFERROR(TRIM(LEFT(_xlpm.s, FIND(" (",_xlpm.s)-1)), _xlpm.raw))</f>
        <v>Fernando Mendoza</v>
      </c>
      <c r="I2" s="32" t="str">
        <f>_xlfn.LET(_xlpm.raw, 'Other analyst '!G2, _xlpm.s, IF(LEFT(_xlpm.raw,1)="[", MID(_xlpm.raw, FIND("] ",_xlpm.raw)+2, 999), _xlpm.raw), IFERROR(TRIM(LEFT(_xlpm.s, FIND(" (",_xlpm.s)-1)), _xlpm.raw))</f>
        <v>Fernando Mendoza</v>
      </c>
      <c r="K2" s="1">
        <f>IF(OR(D2="", C2=""), 0, IF(OR(EXACT(TRIM(D2),TRIM(C2)), ISNUMBER(SEARCH(D2, C2)), ISNUMBER(SEARCH(C2, D2))), 1, 0))</f>
        <v>1</v>
      </c>
      <c r="L2" s="1">
        <f>IF(OR(E2="", C2=""), 0, IF(OR(EXACT(TRIM(E2),TRIM(C2)), ISNUMBER(SEARCH(E2, C2)), ISNUMBER(SEARCH(C2, E2))), 1, 0))</f>
        <v>1</v>
      </c>
      <c r="M2" s="1">
        <f>IF(OR(F2="", C2=""), 0, IF(OR(EXACT(TRIM(F2),TRIM(C2)), ISNUMBER(SEARCH(F2, C2)), ISNUMBER(SEARCH(C2, F2))), 1, 0))</f>
        <v>1</v>
      </c>
      <c r="N2" s="1">
        <f>IF(OR(G2="", C2=""), 0, IF(OR(EXACT(TRIM(G2),TRIM(C2)), ISNUMBER(SEARCH(G2, C2)), ISNUMBER(SEARCH(C2, G2))), 1, 0))</f>
        <v>1</v>
      </c>
      <c r="O2" s="1">
        <f>IF(OR(H2="", C2=""), 0, IF(OR(EXACT(TRIM(H2),TRIM(C2)), ISNUMBER(SEARCH(H2, C2)), ISNUMBER(SEARCH(C2, H2))), 1, 0))</f>
        <v>1</v>
      </c>
      <c r="P2" s="1">
        <f>IF(OR(I2="", C2=""), 0, IF(OR(EXACT(TRIM(I2),TRIM(C2)), ISNUMBER(SEARCH(I2, C2)), ISNUMBER(SEARCH(C2, I2))), 1, 0))</f>
        <v>1</v>
      </c>
      <c r="Q2" s="1" cm="1">
        <f t="array" ref="Q2">IF(D2="", 0, IF(SUMPRODUCT(--(ISNUMBER(SEARCH(D2, $C$2:$C$33)) + ISNUMBER(SEARCH($C$2:$C$33, D2))))&gt;0, 1, 0))</f>
        <v>1</v>
      </c>
      <c r="R2" s="1" cm="1">
        <f t="array" ref="R2">IF(E2="", 0, IF(SUMPRODUCT(--(ISNUMBER(SEARCH(E2, $C$2:$C$33)) + ISNUMBER(SEARCH($C$2:$C$33, E2))))&gt;0, 1, 0))</f>
        <v>1</v>
      </c>
      <c r="S2" s="1" cm="1">
        <f t="array" ref="S2">IF(F2="", 0, IF(SUMPRODUCT(--(ISNUMBER(SEARCH(F2, $C$2:$C$33)) + ISNUMBER(SEARCH($C$2:$C$33, F2))))&gt;0, 1, 0))</f>
        <v>1</v>
      </c>
      <c r="T2" s="1" cm="1">
        <f t="array" ref="T2">IF(G2="", 0, IF(SUMPRODUCT(--(ISNUMBER(SEARCH(G2, $C$2:$C$33)) + ISNUMBER(SEARCH($C$2:$C$33, G2))))&gt;0, 1, 0))</f>
        <v>1</v>
      </c>
      <c r="U2" s="1" cm="1">
        <f t="array" ref="U2">IF(H2="", 0, IF(SUMPRODUCT(--(ISNUMBER(SEARCH(H2, $C$2:$C$33)) + ISNUMBER(SEARCH($C$2:$C$33, H2))))&gt;0, 1, 0))</f>
        <v>1</v>
      </c>
      <c r="V2" s="1" cm="1">
        <f t="array" ref="V2">IF(I2="", 0, IF(SUMPRODUCT(--(ISNUMBER(SEARCH(I2, $C$2:$C$33)) + ISNUMBER(SEARCH($C$2:$C$33, I2))))&gt;0, 1, 0))</f>
        <v>1</v>
      </c>
      <c r="W2" s="1" cm="1">
        <f t="array" ref="W2">IF(D2="",0,IF(SUMPRODUCT((ISNUMBER(SEARCH(D2,$C$2:$C$33))+ISNUMBER(SEARCH($C$2:$C$33,D2)))*($B$2:$B$33=$B2))&gt;0,1,0))</f>
        <v>1</v>
      </c>
      <c r="X2" s="1" cm="1">
        <f t="array" ref="X2">IF(E2="",0,IF(SUMPRODUCT((ISNUMBER(SEARCH(E2,$C$2:$C$33))+ISNUMBER(SEARCH($C$2:$C$33,E2)))*($B$2:$B$33=$B2))&gt;0,1,0))</f>
        <v>1</v>
      </c>
      <c r="Y2" s="1" cm="1">
        <f t="array" ref="Y2">IF(F2="",0,IF(SUMPRODUCT((ISNUMBER(SEARCH(F2,$C$2:$C$33))+ISNUMBER(SEARCH($C$2:$C$33,F2)))*($B$2:$B$33=$B2))&gt;0,1,0))</f>
        <v>1</v>
      </c>
      <c r="Z2" s="1" cm="1">
        <f t="array" ref="Z2">IF(G2="",0,IF(SUMPRODUCT((ISNUMBER(SEARCH(G2,$C$2:$C$33))+ISNUMBER(SEARCH($C$2:$C$33,G2)))*($B$2:$B$33=$B2))&gt;0,1,0))</f>
        <v>1</v>
      </c>
      <c r="AA2" s="1" cm="1">
        <f t="array" ref="AA2">IF(H2="",0,IF(SUMPRODUCT((ISNUMBER(SEARCH(H2,$C$2:$C$33))+ISNUMBER(SEARCH($C$2:$C$33,H2)))*($B$2:$B$33=$B2))&gt;0,1,0))</f>
        <v>1</v>
      </c>
      <c r="AB2" s="1" cm="1">
        <f t="array" ref="AB2">IF(I2="",0,IF(SUMPRODUCT((ISNUMBER(SEARCH(I2,$C$2:$C$33))+ISNUMBER(SEARCH($C$2:$C$33,I2)))*($B$2:$B$33=$B2))&gt;0,1,0))</f>
        <v>1</v>
      </c>
      <c r="AC2" s="35" t="s">
        <v>8</v>
      </c>
      <c r="AD2" s="35" t="s">
        <v>8</v>
      </c>
      <c r="AE2" s="35" t="s">
        <v>8</v>
      </c>
      <c r="AF2">
        <f>IF(AC2="",0,IF((ISNUMBER(SEARCH(AC2,C2))+ISNUMBER(SEARCH(C2,AC2)))&gt;0,1,0))</f>
        <v>1</v>
      </c>
      <c r="AG2" cm="1">
        <f t="array" ref="AG2">IF(AC2="",0,IF(SUMPRODUCT((ISNUMBER(SEARCH(AC2,$C$2:$C$33))+ISNUMBER(SEARCH($C$2:$C$33,AC2))))&gt;0,1,0))</f>
        <v>1</v>
      </c>
      <c r="AH2" cm="1">
        <f t="array" ref="AH2">IF(AC2="",0,IF(SUMPRODUCT((ISNUMBER(SEARCH(AC2,$C$2:$C$33))+ISNUMBER(SEARCH($C$2:$C$33,AC2)))*($B$2:$B$33=$B2))&gt;0,1,0))</f>
        <v>1</v>
      </c>
      <c r="AI2">
        <f>IF(AD2="",0,IF((ISNUMBER(SEARCH(AD2,C2))+ISNUMBER(SEARCH(C2,AD2)))&gt;0,1,0))</f>
        <v>1</v>
      </c>
      <c r="AJ2" cm="1">
        <f t="array" ref="AJ2">IF(AD2="",0,IF(SUMPRODUCT((ISNUMBER(SEARCH(AD2,$C$2:$C$33))+ISNUMBER(SEARCH($C$2:$C$33,AD2))))&gt;0,1,0))</f>
        <v>1</v>
      </c>
      <c r="AK2" cm="1">
        <f t="array" ref="AK2">IF(AD2="",0,IF(SUMPRODUCT((ISNUMBER(SEARCH(AD2,$C$2:$C$33))+ISNUMBER(SEARCH($C$2:$C$33,AD2)))*($B$2:$B$33=$B2))&gt;0,1,0))</f>
        <v>1</v>
      </c>
      <c r="AL2">
        <f>IF(AE2="",0,IF((ISNUMBER(SEARCH(AE2,C2))+ISNUMBER(SEARCH(C2,AE2)))&gt;0,1,0))</f>
        <v>1</v>
      </c>
      <c r="AM2" cm="1">
        <f t="array" ref="AM2">IF(AE2="",0,IF(SUMPRODUCT((ISNUMBER(SEARCH(AE2,$C$2:$C$33))+ISNUMBER(SEARCH($C$2:$C$33,AE2))))&gt;0,1,0))</f>
        <v>1</v>
      </c>
      <c r="AN2" cm="1">
        <f t="array" ref="AN2">IF(AE2="",0,IF(SUMPRODUCT((ISNUMBER(SEARCH(AE2,$C$2:$C$33))+ISNUMBER(SEARCH($C$2:$C$33,AE2)))*($B$2:$B$33=$B2))&gt;0,1,0))</f>
        <v>1</v>
      </c>
      <c r="AO2" s="17" t="str" cm="1">
        <f t="array" ref="AO2">_xlfn.LET(_xlpm.raw,'Other analyst '!K2,_xlpm.mockNames,'Colin''s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Fernando Mendoza</v>
      </c>
      <c r="AP2">
        <f>IF(OR(AO2="",AO2=0),0,IF(OR(ISNUMBER(SEARCH(AO2,$C2)),ISNUMBER(SEARCH($C2,AO2))),1,0))</f>
        <v>1</v>
      </c>
      <c r="AQ2" cm="1">
        <f t="array" ref="AQ2">IF(OR(AO2="",AO2=0),0,IF(SUMPRODUCT(--(ISNUMBER(SEARCH(AO2,$C$2:$C$33))+ISNUMBER(SEARCH($C$2:$C$33,AO2))))&gt;0,1,0))</f>
        <v>1</v>
      </c>
      <c r="AR2" cm="1">
        <f t="array" ref="AR2">IF(OR(AO2="",AO2=0),0,IF(SUMPRODUCT((ISNUMBER(SEARCH(AO2,$C$2:$C$33))+ISNUMBER(SEARCH($C$2:$C$33,AO2)))*($B$2:$B$33=$B2))&gt;0,1,0))</f>
        <v>1</v>
      </c>
      <c r="AS2" s="17" t="str" cm="1">
        <f t="array" ref="AS2">_xlfn.LET(_xlpm.raw,'Other analyst '!L2,_xlpm.mockNames,'Colin''s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Fernando Mendoza</v>
      </c>
      <c r="AT2">
        <f>IF(OR(AS2="",AS2=0),0,IF(OR(ISNUMBER(SEARCH(AS2,$C2)),ISNUMBER(SEARCH($C2,AS2))),1,0))</f>
        <v>1</v>
      </c>
      <c r="AU2" cm="1">
        <f t="array" ref="AU2">IF(OR(AS2="",AS2=0),0,IF(SUMPRODUCT(--(ISNUMBER(SEARCH(AS2,$C$2:$C$33))+ISNUMBER(SEARCH($C$2:$C$33,AS2))))&gt;0,1,0))</f>
        <v>1</v>
      </c>
      <c r="AV2" cm="1">
        <f t="array" ref="AV2">IF(OR(AS2="",AS2=0),0,IF(SUMPRODUCT((ISNUMBER(SEARCH(AS2,$C$2:$C$33))+ISNUMBER(SEARCH($C$2:$C$33,AS2)))*($B$2:$B$33=$B2))&gt;0,1,0))</f>
        <v>1</v>
      </c>
      <c r="AW2" s="17" t="str" cm="1">
        <f t="array" ref="AW2">_xlfn.LET(_xlpm.raw,'Other analyst '!M2,_xlpm.mockNames,'Colin''s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Fernando Mendoza</v>
      </c>
      <c r="AX2">
        <f>IF(OR(AW2="",AW2=0),0,IF(OR(ISNUMBER(SEARCH(AW2,$C2)),ISNUMBER(SEARCH($C2,AW2))),1,0))</f>
        <v>1</v>
      </c>
      <c r="AY2" cm="1">
        <f t="array" ref="AY2">IF(OR(AW2="",AW2=0),0,IF(SUMPRODUCT(--(ISNUMBER(SEARCH(AW2,$C$2:$C$33))+ISNUMBER(SEARCH($C$2:$C$33,AW2))))&gt;0,1,0))</f>
        <v>1</v>
      </c>
      <c r="AZ2" cm="1">
        <f t="array" ref="AZ2">IF(OR(AW2="",AW2=0),0,IF(SUMPRODUCT((ISNUMBER(SEARCH(AW2,$C$2:$C$33))+ISNUMBER(SEARCH($C$2:$C$33,AW2)))*($B$2:$B$33=$B2))&gt;0,1,0))</f>
        <v>1</v>
      </c>
      <c r="BA2" s="17" t="str" cm="1">
        <f t="array" ref="BA2">_xlfn.LET(_xlpm.raw,'Other analyst '!N2,_xlpm.mockNames,'Colin''s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Fernando Mendoza</v>
      </c>
      <c r="BB2">
        <f>IF(OR(BA2="",BA2=0),0,IF(OR(ISNUMBER(SEARCH(BA2,$C2)),ISNUMBER(SEARCH($C2,BA2))),1,0))</f>
        <v>1</v>
      </c>
      <c r="BC2" cm="1">
        <f t="array" ref="BC2">IF(OR(BA2="",BA2=0),0,IF(SUMPRODUCT(--(ISNUMBER(SEARCH(BA2,$C$2:$C$33))+ISNUMBER(SEARCH($C$2:$C$33,BA2))))&gt;0,1,0))</f>
        <v>1</v>
      </c>
      <c r="BD2" cm="1">
        <f t="array" ref="BD2">IF(OR(BA2="",BA2=0),0,IF(SUMPRODUCT((ISNUMBER(SEARCH(BA2,$C$2:$C$33))+ISNUMBER(SEARCH($C$2:$C$33,BA2)))*($B$2:$B$33=$B2))&gt;0,1,0))</f>
        <v>1</v>
      </c>
      <c r="BE2" s="17" t="str" cm="1">
        <f t="array" ref="BE2">_xlfn.LET(_xlpm.raw,'Other analyst '!O2,_xlpm.mockNames,'Colin''s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Fernando Mendoza</v>
      </c>
      <c r="BF2">
        <f>IF(OR(BE2="",BE2=0),0,IF(OR(ISNUMBER(SEARCH(BE2,$C2)),ISNUMBER(SEARCH($C2,BE2))),1,0))</f>
        <v>1</v>
      </c>
      <c r="BG2" cm="1">
        <f t="array" ref="BG2">IF(OR(BE2="",BE2=0),0,IF(SUMPRODUCT(--(ISNUMBER(SEARCH(BE2,$C$2:$C$33))+ISNUMBER(SEARCH($C$2:$C$33,BE2))))&gt;0,1,0))</f>
        <v>1</v>
      </c>
      <c r="BH2" cm="1">
        <f t="array" ref="BH2">IF(OR(BE2="",BE2=0),0,IF(SUMPRODUCT((ISNUMBER(SEARCH(BE2,$C$2:$C$33))+ISNUMBER(SEARCH($C$2:$C$33,BE2)))*($B$2:$B$33=$B2))&gt;0,1,0))</f>
        <v>1</v>
      </c>
      <c r="BI2" s="17" t="str" cm="1">
        <f t="array" ref="BI2">_xlfn.LET(_xlpm.raw,'Other analyst '!P2,_xlpm.mockNames,'Colin''s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Fernando Mendoza</v>
      </c>
      <c r="BJ2">
        <f>IF(OR(BI2="",BI2=0),0,IF(OR(ISNUMBER(SEARCH(BI2,$C2)),ISNUMBER(SEARCH($C2,BI2))),1,0))</f>
        <v>1</v>
      </c>
      <c r="BK2" cm="1">
        <f t="array" ref="BK2">IF(OR(BI2="",BI2=0),0,IF(SUMPRODUCT(--(ISNUMBER(SEARCH(BI2,$C$2:$C$33))+ISNUMBER(SEARCH($C$2:$C$33,BI2))))&gt;0,1,0))</f>
        <v>1</v>
      </c>
      <c r="BL2" cm="1">
        <f t="array" ref="BL2">IF(OR(BI2="",BI2=0),0,IF(SUMPRODUCT((ISNUMBER(SEARCH(BI2,$C$2:$C$33))+ISNUMBER(SEARCH($C$2:$C$33,BI2)))*($B$2:$B$33=$B2))&gt;0,1,0))</f>
        <v>1</v>
      </c>
      <c r="BM2" s="17" t="str" cm="1">
        <f t="array" ref="BM2">_xlfn.LET(_xlpm.raw,'Other analyst '!Q2,_xlpm.mockNames,'Colin''s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Fernando Mendoza</v>
      </c>
      <c r="BN2">
        <f>IF(OR(BM2="",BM2=0),0,IF(OR(ISNUMBER(SEARCH(BM2,$C2)),ISNUMBER(SEARCH($C2,BM2))),1,0))</f>
        <v>1</v>
      </c>
      <c r="BO2" cm="1">
        <f t="array" ref="BO2">IF(OR(BM2="",BM2=0),0,IF(SUMPRODUCT(--(ISNUMBER(SEARCH(BM2,$C$2:$C$33))+ISNUMBER(SEARCH($C$2:$C$33,BM2))))&gt;0,1,0))</f>
        <v>1</v>
      </c>
      <c r="BP2" cm="1">
        <f t="array" ref="BP2">IF(OR(BM2="",BM2=0),0,IF(SUMPRODUCT((ISNUMBER(SEARCH(BM2,$C$2:$C$33))+ISNUMBER(SEARCH($C$2:$C$33,BM2)))*($B$2:$B$33=$B2))&gt;0,1,0))</f>
        <v>1</v>
      </c>
      <c r="BQ2" s="17" t="str" cm="1">
        <f t="array" ref="BQ2">_xlfn.LET(_xlpm.raw,'Other analyst '!R2,_xlpm.mockNames,'Colin''s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Fernando Mendoza</v>
      </c>
      <c r="BR2">
        <f>IF(OR(BQ2="",BQ2=0),0,IF(OR(ISNUMBER(SEARCH(BQ2,$C2)),ISNUMBER(SEARCH($C2,BQ2))),1,0))</f>
        <v>1</v>
      </c>
      <c r="BS2" cm="1">
        <f t="array" ref="BS2">IF(OR(BQ2="",BQ2=0),0,IF(SUMPRODUCT(--(ISNUMBER(SEARCH(BQ2,$C$2:$C$33))+ISNUMBER(SEARCH($C$2:$C$33,BQ2))))&gt;0,1,0))</f>
        <v>1</v>
      </c>
      <c r="BT2" cm="1">
        <f t="array" ref="BT2">IF(OR(BQ2="",BQ2=0),0,IF(SUMPRODUCT((ISNUMBER(SEARCH(BQ2,$C$2:$C$33))+ISNUMBER(SEARCH($C$2:$C$33,BQ2)))*($B$2:$B$33=$B2))&gt;0,1,0))</f>
        <v>1</v>
      </c>
      <c r="BU2" s="63" t="str">
        <f>'Colin Mock wTrade'!D2</f>
        <v>Fernando Mendoza</v>
      </c>
      <c r="BV2">
        <f>IF(BU2="",0,IF(OR(ISNUMBER(SEARCH(BU2,C2)),ISNUMBER(SEARCH(C2,BU2))),1,0))</f>
        <v>1</v>
      </c>
      <c r="BW2" cm="1">
        <f t="array" ref="BW2">IF(BU2="",0,IF(SUMPRODUCT(--(ISNUMBER(SEARCH(BU2,$C$2:$C$33))+ISNUMBER(SEARCH($C$2:$C$33,BU2))))&gt;0,1,0))</f>
        <v>1</v>
      </c>
      <c r="BX2" cm="1">
        <f t="array" ref="BX2">IF(BU2="",0,IFERROR(IF(SUMPRODUCT((ISNUMBER(SEARCH(BU2,$C$2:$C$33))+ISNUMBER(SEARCH($C$2:$C$33,BU2)))*($B$2:$B$33=VLOOKUP('Colin Mock wTrade'!C2,$CA$1:$CB$32,2,FALSE)))&gt;0,1,0),0))</f>
        <v>1</v>
      </c>
      <c r="CA2" t="s">
        <v>11</v>
      </c>
      <c r="CB2" t="s">
        <v>386</v>
      </c>
      <c r="CC2" t="str">
        <f>'Other analyst '!S2</f>
        <v>Fernando Mendoza</v>
      </c>
      <c r="CD2">
        <f>IF(CC2="",0,IF(OR(ISNUMBER(SEARCH(CC2,C2)),ISNUMBER(SEARCH(C2,CC2))),1,0))</f>
        <v>1</v>
      </c>
      <c r="CE2" cm="1">
        <f t="array" ref="CE2">IF(CC2="",0,IF(SUMPRODUCT(--(ISNUMBER(SEARCH(CC2,$C$2:$C$33))+ISNUMBER(SEARCH($C$2:$C$33,CC2))))&gt;0,1,0))</f>
        <v>1</v>
      </c>
      <c r="CF2" cm="1">
        <f t="array" ref="CF2">IF(CC2="",0,IF(SUMPRODUCT((ISNUMBER(SEARCH(CC2,$C$2:$C$33))+ISNUMBER(SEARCH($C$2:$C$33,CC2)))*($B$2:$B$33=$B2))&gt;0,1,0))</f>
        <v>1</v>
      </c>
      <c r="CG2" t="str">
        <f>'Other analyst '!T2</f>
        <v>Fernando Mendoza</v>
      </c>
      <c r="CH2">
        <f>IF(CG2="",0,IF(OR(ISNUMBER(SEARCH(CG2,C2)),ISNUMBER(SEARCH(C2,CG2))),1,0))</f>
        <v>1</v>
      </c>
      <c r="CI2" cm="1">
        <f t="array" ref="CI2">IF(CG2="",0,IF(SUMPRODUCT(--(ISNUMBER(SEARCH(CG2,$C$2:$C$33))+ISNUMBER(SEARCH($C$2:$C$33,CG2))))&gt;0,1,0))</f>
        <v>1</v>
      </c>
      <c r="CJ2" cm="1">
        <f t="array" ref="CJ2">IF(CG2="",0,IF(SUMPRODUCT((ISNUMBER(SEARCH(CG2,$C$2:$C$33))+ISNUMBER(SEARCH($C$2:$C$33,CG2)))*($B$2:$B$33=$B2))&gt;0,1,0))</f>
        <v>1</v>
      </c>
      <c r="CK2" t="str">
        <f>'Other analyst '!U2</f>
        <v>Fernando Mendoza</v>
      </c>
      <c r="CL2">
        <f>IF(CK2="",0,IF(OR(ISNUMBER(SEARCH(CK2,C2)),ISNUMBER(SEARCH(C2,CK2))),1,0))</f>
        <v>1</v>
      </c>
      <c r="CM2" cm="1">
        <f t="array" ref="CM2">IF(CK2="",0,IF(SUMPRODUCT(--(ISNUMBER(SEARCH(CK2,$C$2:$C$33))+ISNUMBER(SEARCH($C$2:$C$33,CK2))))&gt;0,1,0))</f>
        <v>1</v>
      </c>
      <c r="CN2" cm="1">
        <f t="array" ref="CN2">IF(CK2="",0,IF(SUMPRODUCT((ISNUMBER(SEARCH(CK2,$C$2:$C$33))+ISNUMBER(SEARCH($C$2:$C$33,CK2)))*($B$2:$B$33=$B2))&gt;0,1,0))</f>
        <v>1</v>
      </c>
      <c r="CO2" t="str">
        <f>'Other analyst '!V2</f>
        <v>Arch Manning</v>
      </c>
      <c r="CP2">
        <f>IF(CO2="",0,IF(OR(ISNUMBER(SEARCH(CO2,C2)),ISNUMBER(SEARCH(C2,CO2))),1,0))</f>
        <v>0</v>
      </c>
      <c r="CQ2" cm="1">
        <f t="array" ref="CQ2">IF(CO2="",0,IF(SUMPRODUCT(--(ISNUMBER(SEARCH(CO2,$C$2:$C$33))+ISNUMBER(SEARCH($C$2:$C$33,CO2))))&gt;0,1,0))</f>
        <v>0</v>
      </c>
      <c r="CR2" cm="1">
        <f t="array" ref="CR2">IF(CO2="",0,IF(SUMPRODUCT((ISNUMBER(SEARCH(CO2,$C$2:$C$33))+ISNUMBER(SEARCH($C$2:$C$33,CO2)))*($B$2:$B$33=$B2))&gt;0,1,0))</f>
        <v>0</v>
      </c>
      <c r="CS2" s="35" t="str">
        <f>'Other analyst '!W2</f>
        <v>Fernando Mendoza</v>
      </c>
      <c r="CT2">
        <f>IF(CS2="",0,IF(OR(ISNUMBER(SEARCH(CS2,C2)),ISNUMBER(SEARCH(C2,CS2))),1,0))</f>
        <v>1</v>
      </c>
      <c r="CU2" cm="1">
        <f t="array" ref="CU2">IF(CS2="",0,IF(SUMPRODUCT(--(ISNUMBER(SEARCH(CS2,$C$2:$C$33))+ISNUMBER(SEARCH($C$2:$C$33,CS2))))&gt;0,1,0))</f>
        <v>1</v>
      </c>
      <c r="CV2" cm="1">
        <f t="array" ref="CV2">IF(CS2="",0,IFERROR(IF(SUMPRODUCT((ISNUMBER(SEARCH(CS2,$C$2:$C$33))+ISNUMBER(SEARCH($C$2:$C$33,CS2)))*(ISNUMBER(SEARCH($B$2:$B$33,'Other analyst '!B2))+ISNUMBER(SEARCH('Other analyst '!B2,$B$2:$B$33))))&gt;0,1,0),0))</f>
        <v>1</v>
      </c>
      <c r="CW2" s="35" t="str">
        <f>'Other analyst '!AD2</f>
        <v>Fernando Mendoza</v>
      </c>
      <c r="CX2">
        <f>IF(CW2="",0,IF(OR(ISNUMBER(SEARCH(CW2,C2)),ISNUMBER(SEARCH(C2,CW2))),1,0))</f>
        <v>1</v>
      </c>
      <c r="CY2" cm="1">
        <f t="array" ref="CY2">IF(CW2="",0,IF(SUMPRODUCT(--(ISNUMBER(SEARCH(CW2,$C$2:$C$33))+ISNUMBER(SEARCH($C$2:$C$33,CW2))))&gt;0,1,0))</f>
        <v>1</v>
      </c>
      <c r="CZ2" cm="1">
        <f t="array" ref="CZ2">IF(CW2="",0,IF(SUMPRODUCT((ISNUMBER(SEARCH(CW2,$C$2:$C$33))+ISNUMBER(SEARCH($C$2:$C$33,CW2)))*($B$2:$B$33=$B2))&gt;0,1,0))</f>
        <v>1</v>
      </c>
      <c r="DA2" s="35" t="str">
        <f>'Other analyst '!AE2</f>
        <v>Fernando Mendoza</v>
      </c>
      <c r="DB2">
        <f>IF(DA2="",0,IF(OR(ISNUMBER(SEARCH(DA2,C2)),ISNUMBER(SEARCH(C2,DA2))),1,0))</f>
        <v>1</v>
      </c>
      <c r="DC2" cm="1">
        <f t="array" ref="DC2">IF(DA2="",0,IF(SUMPRODUCT(--(ISNUMBER(SEARCH(DA2,$C$2:$C$33))+ISNUMBER(SEARCH($C$2:$C$33,DA2))))&gt;0,1,0))</f>
        <v>1</v>
      </c>
      <c r="DD2" cm="1">
        <f t="array" ref="DD2">IF(DA2="",0,IF(SUMPRODUCT((ISNUMBER(SEARCH(DA2,$C$2:$C$33))+ISNUMBER(SEARCH($C$2:$C$33,DA2)))*($B$2:$B$33=$B2))&gt;0,1,0))</f>
        <v>1</v>
      </c>
      <c r="DE2" s="35" t="str">
        <f>'Other analyst '!AF2</f>
        <v>Fernando Mendoza</v>
      </c>
      <c r="DF2">
        <f>IF(DE2="",0,IF(OR(ISNUMBER(SEARCH(DE2,C2)),ISNUMBER(SEARCH(C2,DE2))),1,0))</f>
        <v>1</v>
      </c>
      <c r="DG2" cm="1">
        <f t="array" ref="DG2">IF(DE2="",0,IF(SUMPRODUCT(--(ISNUMBER(SEARCH(DE2,$C$2:$C$33))+ISNUMBER(SEARCH($C$2:$C$33,DE2))))&gt;0,1,0))</f>
        <v>1</v>
      </c>
      <c r="DH2" cm="1">
        <f t="array" ref="DH2">IF(DE2="",0,IF(SUMPRODUCT((ISNUMBER(SEARCH(DE2,$C$2:$C$33))+ISNUMBER(SEARCH($C$2:$C$33,DE2)))*($B$2:$B$33=$B2))&gt;0,1,0))</f>
        <v>1</v>
      </c>
      <c r="DI2" s="35" t="str">
        <f>'Other analyst '!AG2</f>
        <v>Fernando Mendoza</v>
      </c>
      <c r="DJ2">
        <f>IF(DI2="",0,IF(OR(ISNUMBER(SEARCH(DI2,C2)),ISNUMBER(SEARCH(C2,DI2))),1,0))</f>
        <v>1</v>
      </c>
      <c r="DK2" cm="1">
        <f t="array" ref="DK2">IF(DI2="",0,IF(SUMPRODUCT(--(ISNUMBER(SEARCH(DI2,$C$2:$C$33))+ISNUMBER(SEARCH($C$2:$C$33,DI2))))&gt;0,1,0))</f>
        <v>1</v>
      </c>
      <c r="DL2" cm="1">
        <f t="array" ref="DL2">IF(DI2="",0,IF(SUMPRODUCT((ISNUMBER(SEARCH(DI2,$C$2:$C$33))+ISNUMBER(SEARCH($C$2:$C$33,DI2)))*($B$2:$B$33=$B2))&gt;0,1,0))</f>
        <v>1</v>
      </c>
      <c r="DM2" s="35" t="str">
        <f>'Other analyst '!AB2</f>
        <v>Fernando Mendoza</v>
      </c>
      <c r="DN2">
        <f>IF(DM2="",0,IF(OR(ISNUMBER(SEARCH(DM2,C2)),ISNUMBER(SEARCH(C2,DM2))),1,0))</f>
        <v>1</v>
      </c>
      <c r="DO2" cm="1">
        <f t="array" ref="DO2">IF(DM2="",0,IF(SUMPRODUCT(--(ISNUMBER(SEARCH(DM2,$C$2:$C$33))+ISNUMBER(SEARCH($C$2:$C$33,DM2))))&gt;0,1,0))</f>
        <v>1</v>
      </c>
      <c r="DP2" cm="1">
        <f t="array" ref="DP2">IF(DM2="",0,IFERROR(IF(SUMPRODUCT((ISNUMBER(SEARCH(DM2,$C$2:$C$33))+ISNUMBER(SEARCH($C$2:$C$33,DM2)))*(ISNUMBER(SEARCH($B$2:$B$33,'Other analyst '!B2))+ISNUMBER(SEARCH('Other analyst '!B2,$B$2:$B$33))))&gt;0,1,0),0))</f>
        <v>1</v>
      </c>
      <c r="DQ2" s="35" t="str">
        <f>'Other analyst '!AC2</f>
        <v>Fernando Mendoza</v>
      </c>
      <c r="DR2">
        <f>IF(DQ2="",0,IF(OR(ISNUMBER(SEARCH(DQ2,C2)),ISNUMBER(SEARCH(C2,DQ2))),1,0))</f>
        <v>1</v>
      </c>
      <c r="DS2" cm="1">
        <f t="array" ref="DS2">IF(DQ2="",0,IF(SUMPRODUCT(--(ISNUMBER(SEARCH(DQ2,$C$2:$C$33))+ISNUMBER(SEARCH($C$2:$C$33,DQ2))))&gt;0,1,0))</f>
        <v>1</v>
      </c>
      <c r="DT2" cm="1">
        <f t="array" ref="DT2">IF(DQ2="",0,IFERROR(IF(SUMPRODUCT((ISNUMBER(SEARCH(DQ2,$C$2:$C$33))+ISNUMBER(SEARCH($C$2:$C$33,DQ2)))*(ISNUMBER(SEARCH($B$2:$B$33,'Other analyst '!B2))+ISNUMBER(SEARCH('Other analyst '!B2,$B$2:$B$33))))&gt;0,1,0),0))</f>
        <v>1</v>
      </c>
      <c r="DU2" t="str">
        <f>IFERROR(TRIM(LEFT(IF(ISNUMBER(SEARCH("]",'Other analyst '!X2)),MID('Other analyst '!X2,SEARCH("]",'Other analyst '!X2)+1,200),'Other analyst '!X2),IFERROR(SEARCH(" (",IF(ISNUMBER(SEARCH("]",'Other analyst '!X2)),MID('Other analyst '!X2,SEARCH("]",'Other analyst '!X2)+1,200),'Other analyst '!X2))-1,LEN('Other analyst '!X2)))),"")</f>
        <v>Fernando Mendoza</v>
      </c>
      <c r="DV2">
        <f>IF(DU2="",0,IF(OR(ISNUMBER(SEARCH(DU2,C2)),ISNUMBER(SEARCH(C2,DU2))),1,0))</f>
        <v>1</v>
      </c>
      <c r="DW2" cm="1">
        <f t="array" ref="DW2">IF(DU2="",0,IF(SUMPRODUCT((ISNUMBER(SEARCH(DU2,$C$2:$C$33))+ISNUMBER(SEARCH($C$2:$C$33,DU2))))&gt;0,1,0))</f>
        <v>1</v>
      </c>
      <c r="DX2">
        <v>0</v>
      </c>
      <c r="DY2" t="str">
        <f>IFERROR(TRIM(LEFT(IF(ISNUMBER(SEARCH("]",'Other analyst '!Y2)),MID('Other analyst '!Y2,SEARCH("]",'Other analyst '!Y2)+1,200),'Other analyst '!Y2),IFERROR(SEARCH(" (",IF(ISNUMBER(SEARCH("]",'Other analyst '!Y2)),MID('Other analyst '!Y2,SEARCH("]",'Other analyst '!Y2)+1,200),'Other analyst '!Y2))-1,LEN('Other analyst '!Y2)))),"")</f>
        <v>Fernando Mendoza</v>
      </c>
      <c r="DZ2">
        <f>IF(DY2="",0,IF(OR(ISNUMBER(SEARCH(DY2,C2)),ISNUMBER(SEARCH(C2,DY2))),1,0))</f>
        <v>1</v>
      </c>
      <c r="EA2" cm="1">
        <f t="array" ref="EA2">IF(DY2="",0,IF(SUMPRODUCT((ISNUMBER(SEARCH(DY2,$C$2:$C$33))+ISNUMBER(SEARCH($C$2:$C$33,DY2))))&gt;0,1,0))</f>
        <v>1</v>
      </c>
      <c r="EB2">
        <v>0</v>
      </c>
      <c r="EC2" t="str">
        <f>IFERROR(TRIM(LEFT(IF(ISNUMBER(SEARCH("]",'Other analyst '!Z2)),MID('Other analyst '!Z2,SEARCH("]",'Other analyst '!Z2)+1,200),'Other analyst '!Z2),IFERROR(SEARCH(" (",IF(ISNUMBER(SEARCH("]",'Other analyst '!Z2)),MID('Other analyst '!Z2,SEARCH("]",'Other analyst '!Z2)+1,200),'Other analyst '!Z2))-1,LEN('Other analyst '!Z2)))),"")</f>
        <v>Fernando Mendoza</v>
      </c>
      <c r="ED2">
        <f>IF(EC2="",0,IF(OR(ISNUMBER(SEARCH(EC2,C2)),ISNUMBER(SEARCH(C2,EC2))),1,0))</f>
        <v>1</v>
      </c>
      <c r="EE2" cm="1">
        <f t="array" ref="EE2">IF(EC2="",0,IF(SUMPRODUCT((ISNUMBER(SEARCH(EC2,$C$2:$C$33))+ISNUMBER(SEARCH($C$2:$C$33,EC2))))&gt;0,1,0))</f>
        <v>1</v>
      </c>
      <c r="EF2">
        <v>0</v>
      </c>
      <c r="EG2" t="str">
        <f>IFERROR(TRIM(LEFT(IF(ISNUMBER(SEARCH("]",'Other analyst '!AA2)),MID('Other analyst '!AA2,SEARCH("]",'Other analyst '!AA2)+1,200),'Other analyst '!AA2),IFERROR(SEARCH(" (",IF(ISNUMBER(SEARCH("]",'Other analyst '!AA2)),MID('Other analyst '!AA2,SEARCH("]",'Other analyst '!AA2)+1,200),'Other analyst '!AA2))-1,LEN('Other analyst '!AA2)))),"")</f>
        <v>Fernando Mendoza</v>
      </c>
      <c r="EH2">
        <f>IF(EG2="",0,IF(OR(ISNUMBER(SEARCH(EG2,C2)),ISNUMBER(SEARCH(C2,EG2))),1,0))</f>
        <v>1</v>
      </c>
      <c r="EI2" cm="1">
        <f t="array" ref="EI2">IF(EG2="",0,IF(SUMPRODUCT((ISNUMBER(SEARCH(EG2,$C$2:$C$33))+ISNUMBER(SEARCH($C$2:$C$33,EG2))))&gt;0,1,0))</f>
        <v>1</v>
      </c>
      <c r="EJ2">
        <v>0</v>
      </c>
      <c r="EK2">
        <f>K2+L2+M2+N2+O2+P2+AF2+AI2+AL2+AP2+AT2+AX2+BB2+BF2+BJ2+BN2+BR2+BV2+CD2+CH2+CL2+CP2+CT2+DV2+DZ2+ED2+EH2+DN2+DR2+CX2+DB2+DF2+DJ2</f>
        <v>32</v>
      </c>
    </row>
    <row r="3" spans="1:141">
      <c r="A3" s="30">
        <v>2</v>
      </c>
      <c r="B3" s="30" t="str">
        <f>'Actual nfl first round'!C3</f>
        <v>Jets</v>
      </c>
      <c r="C3" s="31" t="str" cm="1">
        <f t="array" ref="C3">_xlfn.LET(_xlpm.actual, 'Actual nfl first round'!D3,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David Bailey</v>
      </c>
      <c r="D3" s="32" t="str">
        <f>'Colin''s Mock'!D3</f>
        <v>David Bailey</v>
      </c>
      <c r="E3" s="32" t="str">
        <f>_xlfn.LET(_xlpm.raw, 'Other analyst '!C3, _xlpm.s, IF(LEFT(_xlpm.raw,1)="[", MID(_xlpm.raw, FIND("] ",_xlpm.raw)+2, 999), _xlpm.raw), IFERROR(TRIM(LEFT(_xlpm.s, FIND(" (",_xlpm.s)-1)), _xlpm.raw))</f>
        <v>David Bailey</v>
      </c>
      <c r="F3" s="32" t="str">
        <f>_xlfn.LET(_xlpm.raw, 'Other analyst '!D3, _xlpm.s, IF(LEFT(_xlpm.raw,1)="[", MID(_xlpm.raw, FIND("] ",_xlpm.raw)+2, 999), _xlpm.raw), IFERROR(TRIM(LEFT(_xlpm.s, FIND(" (",_xlpm.s)-1)), _xlpm.raw))</f>
        <v>David Bailey</v>
      </c>
      <c r="G3" s="32" t="str">
        <f>_xlfn.LET(_xlpm.raw, 'Other analyst '!E3, _xlpm.s, IF(LEFT(_xlpm.raw,1)="[", MID(_xlpm.raw, FIND("] ",_xlpm.raw)+2, 999), _xlpm.raw), IFERROR(TRIM(LEFT(_xlpm.s, FIND(" (",_xlpm.s)-1)), _xlpm.raw))</f>
        <v>David Bailey</v>
      </c>
      <c r="H3" s="32" t="str">
        <f>_xlfn.LET(_xlpm.raw, 'Other analyst '!F3, _xlpm.s, IF(LEFT(_xlpm.raw,1)="[", MID(_xlpm.raw, FIND("] ",_xlpm.raw)+2, 999), _xlpm.raw), IFERROR(TRIM(LEFT(_xlpm.s, FIND(" (",_xlpm.s)-1)), _xlpm.raw))</f>
        <v>David Bailey</v>
      </c>
      <c r="I3" s="32" t="str">
        <f>_xlfn.LET(_xlpm.raw, 'Other analyst '!G3, _xlpm.s, IF(LEFT(_xlpm.raw,1)="[", MID(_xlpm.raw, FIND("] ",_xlpm.raw)+2, 999), _xlpm.raw), IFERROR(TRIM(LEFT(_xlpm.s, FIND(" (",_xlpm.s)-1)), _xlpm.raw))</f>
        <v>Arvell Reese</v>
      </c>
      <c r="K3" s="1">
        <f t="shared" ref="K3:K33" si="0">IF(OR(D3="", C3=""), 0, IF(OR(EXACT(TRIM(D3),TRIM(C3)), ISNUMBER(SEARCH(D3, C3)), ISNUMBER(SEARCH(C3, D3))), 1, 0))</f>
        <v>1</v>
      </c>
      <c r="L3" s="1">
        <f t="shared" ref="L3:L33" si="1">IF(OR(E3="", C3=""), 0, IF(OR(EXACT(TRIM(E3),TRIM(C3)), ISNUMBER(SEARCH(E3, C3)), ISNUMBER(SEARCH(C3, E3))), 1, 0))</f>
        <v>1</v>
      </c>
      <c r="M3" s="1">
        <f t="shared" ref="M3:M33" si="2">IF(OR(F3="", C3=""), 0, IF(OR(EXACT(TRIM(F3),TRIM(C3)), ISNUMBER(SEARCH(F3, C3)), ISNUMBER(SEARCH(C3, F3))), 1, 0))</f>
        <v>1</v>
      </c>
      <c r="N3" s="1">
        <f t="shared" ref="N3:N33" si="3">IF(OR(G3="", C3=""), 0, IF(OR(EXACT(TRIM(G3),TRIM(C3)), ISNUMBER(SEARCH(G3, C3)), ISNUMBER(SEARCH(C3, G3))), 1, 0))</f>
        <v>1</v>
      </c>
      <c r="O3" s="1">
        <f t="shared" ref="O3:O33" si="4">IF(OR(H3="", C3=""), 0, IF(OR(EXACT(TRIM(H3),TRIM(C3)), ISNUMBER(SEARCH(H3, C3)), ISNUMBER(SEARCH(C3, H3))), 1, 0))</f>
        <v>1</v>
      </c>
      <c r="P3" s="1">
        <f t="shared" ref="P3:P33" si="5">IF(OR(I3="", C3=""), 0, IF(OR(EXACT(TRIM(I3),TRIM(C3)), ISNUMBER(SEARCH(I3, C3)), ISNUMBER(SEARCH(C3, I3))), 1, 0))</f>
        <v>0</v>
      </c>
      <c r="Q3" s="1" cm="1">
        <f t="array" ref="Q3">IF(D3="", 0, IF(SUMPRODUCT(--(ISNUMBER(SEARCH(D3, $C$2:$C$33)) + ISNUMBER(SEARCH($C$2:$C$33, D3))))&gt;0, 1, 0))</f>
        <v>1</v>
      </c>
      <c r="R3" s="1" cm="1">
        <f t="array" ref="R3">IF(E3="", 0, IF(SUMPRODUCT(--(ISNUMBER(SEARCH(E3, $C$2:$C$33)) + ISNUMBER(SEARCH($C$2:$C$33, E3))))&gt;0, 1, 0))</f>
        <v>1</v>
      </c>
      <c r="S3" s="1" cm="1">
        <f t="array" ref="S3">IF(F3="", 0, IF(SUMPRODUCT(--(ISNUMBER(SEARCH(F3, $C$2:$C$33)) + ISNUMBER(SEARCH($C$2:$C$33, F3))))&gt;0, 1, 0))</f>
        <v>1</v>
      </c>
      <c r="T3" s="1" cm="1">
        <f t="array" ref="T3">IF(G3="", 0, IF(SUMPRODUCT(--(ISNUMBER(SEARCH(G3, $C$2:$C$33)) + ISNUMBER(SEARCH($C$2:$C$33, G3))))&gt;0, 1, 0))</f>
        <v>1</v>
      </c>
      <c r="U3" s="1" cm="1">
        <f t="array" ref="U3">IF(H3="", 0, IF(SUMPRODUCT(--(ISNUMBER(SEARCH(H3, $C$2:$C$33)) + ISNUMBER(SEARCH($C$2:$C$33, H3))))&gt;0, 1, 0))</f>
        <v>1</v>
      </c>
      <c r="V3" s="1" cm="1">
        <f t="array" ref="V3">IF(I3="", 0, IF(SUMPRODUCT(--(ISNUMBER(SEARCH(I3, $C$2:$C$33)) + ISNUMBER(SEARCH($C$2:$C$33, I3))))&gt;0, 1, 0))</f>
        <v>1</v>
      </c>
      <c r="W3" s="1" cm="1">
        <f t="array" ref="W3">IF(D3="",0,IF(SUMPRODUCT((ISNUMBER(SEARCH(D3,$C$2:$C$33))+ISNUMBER(SEARCH($C$2:$C$33,D3)))*($B$2:$B$33=$B3))&gt;0,1,0))</f>
        <v>1</v>
      </c>
      <c r="X3" s="1" cm="1">
        <f t="array" ref="X3">IF(E3="",0,IF(SUMPRODUCT((ISNUMBER(SEARCH(E3,$C$2:$C$33))+ISNUMBER(SEARCH($C$2:$C$33,E3)))*($B$2:$B$33=$B3))&gt;0,1,0))</f>
        <v>1</v>
      </c>
      <c r="Y3" s="1" cm="1">
        <f t="array" ref="Y3">IF(F3="",0,IF(SUMPRODUCT((ISNUMBER(SEARCH(F3,$C$2:$C$33))+ISNUMBER(SEARCH($C$2:$C$33,F3)))*($B$2:$B$33=$B3))&gt;0,1,0))</f>
        <v>1</v>
      </c>
      <c r="Z3" s="1" cm="1">
        <f t="array" ref="Z3">IF(G3="",0,IF(SUMPRODUCT((ISNUMBER(SEARCH(G3,$C$2:$C$33))+ISNUMBER(SEARCH($C$2:$C$33,G3)))*($B$2:$B$33=$B3))&gt;0,1,0))</f>
        <v>1</v>
      </c>
      <c r="AA3" s="1" cm="1">
        <f t="array" ref="AA3">IF(H3="",0,IF(SUMPRODUCT((ISNUMBER(SEARCH(H3,$C$2:$C$33))+ISNUMBER(SEARCH($C$2:$C$33,H3)))*($B$2:$B$33=$B3))&gt;0,1,0))</f>
        <v>1</v>
      </c>
      <c r="AB3" s="1" cm="1">
        <f t="array" ref="AB3">IF(I3="",0,IF(SUMPRODUCT((ISNUMBER(SEARCH(I3,$C$2:$C$33))+ISNUMBER(SEARCH($C$2:$C$33,I3)))*($B$2:$B$33=$B3))&gt;0,1,0))</f>
        <v>0</v>
      </c>
      <c r="AC3" s="35" t="s">
        <v>12</v>
      </c>
      <c r="AD3" s="35" t="s">
        <v>12</v>
      </c>
      <c r="AE3" s="36" t="s">
        <v>16</v>
      </c>
      <c r="AF3">
        <f t="shared" ref="AF3:AF33" si="6">IF(AC3="",0,IF((ISNUMBER(SEARCH(AC3,C3))+ISNUMBER(SEARCH(C3,AC3)))&gt;0,1,0))</f>
        <v>1</v>
      </c>
      <c r="AG3" cm="1">
        <f t="array" ref="AG3">IF(AC3="",0,IF(SUMPRODUCT((ISNUMBER(SEARCH(AC3,$C$2:$C$33))+ISNUMBER(SEARCH($C$2:$C$33,AC3))))&gt;0,1,0))</f>
        <v>1</v>
      </c>
      <c r="AH3" cm="1">
        <f t="array" ref="AH3">IF(AC3="",0,IF(SUMPRODUCT((ISNUMBER(SEARCH(AC3,$C$2:$C$33))+ISNUMBER(SEARCH($C$2:$C$33,AC3)))*($B$2:$B$33=$B3))&gt;0,1,0))</f>
        <v>1</v>
      </c>
      <c r="AI3">
        <f t="shared" ref="AI3:AI33" si="7">IF(AD3="",0,IF((ISNUMBER(SEARCH(AD3,C3))+ISNUMBER(SEARCH(C3,AD3)))&gt;0,1,0))</f>
        <v>1</v>
      </c>
      <c r="AJ3" cm="1">
        <f t="array" ref="AJ3">IF(AD3="",0,IF(SUMPRODUCT((ISNUMBER(SEARCH(AD3,$C$2:$C$33))+ISNUMBER(SEARCH($C$2:$C$33,AD3))))&gt;0,1,0))</f>
        <v>1</v>
      </c>
      <c r="AK3" cm="1">
        <f t="array" ref="AK3">IF(AD3="",0,IF(SUMPRODUCT((ISNUMBER(SEARCH(AD3,$C$2:$C$33))+ISNUMBER(SEARCH($C$2:$C$33,AD3)))*($B$2:$B$33=$B3))&gt;0,1,0))</f>
        <v>1</v>
      </c>
      <c r="AL3">
        <f t="shared" ref="AL3:AL33" si="8">IF(AE3="",0,IF((ISNUMBER(SEARCH(AE3,C3))+ISNUMBER(SEARCH(C3,AE3)))&gt;0,1,0))</f>
        <v>0</v>
      </c>
      <c r="AM3" cm="1">
        <f t="array" ref="AM3">IF(AE3="",0,IF(SUMPRODUCT((ISNUMBER(SEARCH(AE3,$C$2:$C$33))+ISNUMBER(SEARCH($C$2:$C$33,AE3))))&gt;0,1,0))</f>
        <v>1</v>
      </c>
      <c r="AN3" cm="1">
        <f t="array" ref="AN3">IF(AE3="",0,IF(SUMPRODUCT((ISNUMBER(SEARCH(AE3,$C$2:$C$33))+ISNUMBER(SEARCH($C$2:$C$33,AE3)))*($B$2:$B$33=$B3))&gt;0,1,0))</f>
        <v>0</v>
      </c>
      <c r="AO3" s="64" t="str" cm="1">
        <f t="array" ref="AO3">_xlfn.LET(_xlpm.raw,'Other analyst '!K3,_xlpm.mockNames,'Colin''s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Arvell Reese</v>
      </c>
      <c r="AP3">
        <f>IF(OR(AO3="",AO3=0),0,IF(OR(ISNUMBER(SEARCH(AO3,$C3)),ISNUMBER(SEARCH($C3,AO3))),1,0))</f>
        <v>0</v>
      </c>
      <c r="AQ3" cm="1">
        <f t="array" ref="AQ3">IF(OR(AO3="",AO3=0),0,IF(SUMPRODUCT(--(ISNUMBER(SEARCH(AO3,$C$2:$C$33))+ISNUMBER(SEARCH($C$2:$C$33,AO3))))&gt;0,1,0))</f>
        <v>1</v>
      </c>
      <c r="AR3" cm="1">
        <f t="array" ref="AR3">IF(OR(AO3="",AO3=0),0,IF(SUMPRODUCT((ISNUMBER(SEARCH(AO3,$C$2:$C$33))+ISNUMBER(SEARCH($C$2:$C$33,AO3)))*($B$2:$B$33=$B3))&gt;0,1,0))</f>
        <v>0</v>
      </c>
      <c r="AS3" s="17" t="str" cm="1">
        <f t="array" ref="AS3">_xlfn.LET(_xlpm.raw,'Other analyst '!L3,_xlpm.mockNames,'Colin''s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David Bailey</v>
      </c>
      <c r="AT3">
        <f>IF(OR(AS3="",AS3=0),0,IF(OR(ISNUMBER(SEARCH(AS3,$C3)),ISNUMBER(SEARCH($C3,AS3))),1,0))</f>
        <v>1</v>
      </c>
      <c r="AU3" cm="1">
        <f t="array" ref="AU3">IF(OR(AS3="",AS3=0),0,IF(SUMPRODUCT(--(ISNUMBER(SEARCH(AS3,$C$2:$C$33))+ISNUMBER(SEARCH($C$2:$C$33,AS3))))&gt;0,1,0))</f>
        <v>1</v>
      </c>
      <c r="AV3" cm="1">
        <f t="array" ref="AV3">IF(OR(AS3="",AS3=0),0,IF(SUMPRODUCT((ISNUMBER(SEARCH(AS3,$C$2:$C$33))+ISNUMBER(SEARCH($C$2:$C$33,AS3)))*($B$2:$B$33=$B3))&gt;0,1,0))</f>
        <v>1</v>
      </c>
      <c r="AW3" s="17" t="str" cm="1">
        <f t="array" ref="AW3">_xlfn.LET(_xlpm.raw,'Other analyst '!M3,_xlpm.mockNames,'Colin''s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David Bailey</v>
      </c>
      <c r="AX3">
        <f>IF(OR(AW3="",AW3=0),0,IF(OR(ISNUMBER(SEARCH(AW3,$C3)),ISNUMBER(SEARCH($C3,AW3))),1,0))</f>
        <v>1</v>
      </c>
      <c r="AY3" cm="1">
        <f t="array" ref="AY3">IF(OR(AW3="",AW3=0),0,IF(SUMPRODUCT(--(ISNUMBER(SEARCH(AW3,$C$2:$C$33))+ISNUMBER(SEARCH($C$2:$C$33,AW3))))&gt;0,1,0))</f>
        <v>1</v>
      </c>
      <c r="AZ3" cm="1">
        <f t="array" ref="AZ3">IF(OR(AW3="",AW3=0),0,IF(SUMPRODUCT((ISNUMBER(SEARCH(AW3,$C$2:$C$33))+ISNUMBER(SEARCH($C$2:$C$33,AW3)))*($B$2:$B$33=$B3))&gt;0,1,0))</f>
        <v>1</v>
      </c>
      <c r="BA3" s="17" t="str" cm="1">
        <f t="array" ref="BA3">_xlfn.LET(_xlpm.raw,'Other analyst '!N3,_xlpm.mockNames,'Colin''s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David Bailey</v>
      </c>
      <c r="BB3">
        <f>IF(OR(BA3="",BA3=0),0,IF(OR(ISNUMBER(SEARCH(BA3,$C3)),ISNUMBER(SEARCH($C3,BA3))),1,0))</f>
        <v>1</v>
      </c>
      <c r="BC3" cm="1">
        <f t="array" ref="BC3">IF(OR(BA3="",BA3=0),0,IF(SUMPRODUCT(--(ISNUMBER(SEARCH(BA3,$C$2:$C$33))+ISNUMBER(SEARCH($C$2:$C$33,BA3))))&gt;0,1,0))</f>
        <v>1</v>
      </c>
      <c r="BD3" cm="1">
        <f t="array" ref="BD3">IF(OR(BA3="",BA3=0),0,IF(SUMPRODUCT((ISNUMBER(SEARCH(BA3,$C$2:$C$33))+ISNUMBER(SEARCH($C$2:$C$33,BA3)))*($B$2:$B$33=$B3))&gt;0,1,0))</f>
        <v>1</v>
      </c>
      <c r="BE3" s="17" t="str" cm="1">
        <f t="array" ref="BE3">_xlfn.LET(_xlpm.raw,'Other analyst '!O3,_xlpm.mockNames,'Colin''s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David Bailey</v>
      </c>
      <c r="BF3">
        <f>IF(OR(BE3="",BE3=0),0,IF(OR(ISNUMBER(SEARCH(BE3,$C3)),ISNUMBER(SEARCH($C3,BE3))),1,0))</f>
        <v>1</v>
      </c>
      <c r="BG3" cm="1">
        <f t="array" ref="BG3">IF(OR(BE3="",BE3=0),0,IF(SUMPRODUCT(--(ISNUMBER(SEARCH(BE3,$C$2:$C$33))+ISNUMBER(SEARCH($C$2:$C$33,BE3))))&gt;0,1,0))</f>
        <v>1</v>
      </c>
      <c r="BH3" cm="1">
        <f t="array" ref="BH3">IF(OR(BE3="",BE3=0),0,IF(SUMPRODUCT((ISNUMBER(SEARCH(BE3,$C$2:$C$33))+ISNUMBER(SEARCH($C$2:$C$33,BE3)))*($B$2:$B$33=$B3))&gt;0,1,0))</f>
        <v>1</v>
      </c>
      <c r="BI3" s="64" t="str" cm="1">
        <f t="array" ref="BI3">_xlfn.LET(_xlpm.raw,'Other analyst '!P3,_xlpm.mockNames,'Colin''s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Arvell Reese</v>
      </c>
      <c r="BJ3">
        <f>IF(OR(BI3="",BI3=0),0,IF(OR(ISNUMBER(SEARCH(BI3,$C3)),ISNUMBER(SEARCH($C3,BI3))),1,0))</f>
        <v>0</v>
      </c>
      <c r="BK3" cm="1">
        <f t="array" ref="BK3">IF(OR(BI3="",BI3=0),0,IF(SUMPRODUCT(--(ISNUMBER(SEARCH(BI3,$C$2:$C$33))+ISNUMBER(SEARCH($C$2:$C$33,BI3))))&gt;0,1,0))</f>
        <v>1</v>
      </c>
      <c r="BL3" cm="1">
        <f t="array" ref="BL3">IF(OR(BI3="",BI3=0),0,IF(SUMPRODUCT((ISNUMBER(SEARCH(BI3,$C$2:$C$33))+ISNUMBER(SEARCH($C$2:$C$33,BI3)))*($B$2:$B$33=$B3))&gt;0,1,0))</f>
        <v>0</v>
      </c>
      <c r="BM3" s="17" t="str" cm="1">
        <f t="array" ref="BM3">_xlfn.LET(_xlpm.raw,'Other analyst '!Q3,_xlpm.mockNames,'Colin''s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David Bailey</v>
      </c>
      <c r="BN3">
        <f>IF(OR(BM3="",BM3=0),0,IF(OR(ISNUMBER(SEARCH(BM3,$C3)),ISNUMBER(SEARCH($C3,BM3))),1,0))</f>
        <v>1</v>
      </c>
      <c r="BO3" cm="1">
        <f t="array" ref="BO3">IF(OR(BM3="",BM3=0),0,IF(SUMPRODUCT(--(ISNUMBER(SEARCH(BM3,$C$2:$C$33))+ISNUMBER(SEARCH($C$2:$C$33,BM3))))&gt;0,1,0))</f>
        <v>1</v>
      </c>
      <c r="BP3" cm="1">
        <f t="array" ref="BP3">IF(OR(BM3="",BM3=0),0,IF(SUMPRODUCT((ISNUMBER(SEARCH(BM3,$C$2:$C$33))+ISNUMBER(SEARCH($C$2:$C$33,BM3)))*($B$2:$B$33=$B3))&gt;0,1,0))</f>
        <v>1</v>
      </c>
      <c r="BQ3" s="17" t="str" cm="1">
        <f t="array" ref="BQ3">_xlfn.LET(_xlpm.raw,'Other analyst '!R3,_xlpm.mockNames,'Colin''s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David Bailey</v>
      </c>
      <c r="BR3">
        <f>IF(OR(BQ3="",BQ3=0),0,IF(OR(ISNUMBER(SEARCH(BQ3,$C3)),ISNUMBER(SEARCH($C3,BQ3))),1,0))</f>
        <v>1</v>
      </c>
      <c r="BS3" cm="1">
        <f t="array" ref="BS3">IF(OR(BQ3="",BQ3=0),0,IF(SUMPRODUCT(--(ISNUMBER(SEARCH(BQ3,$C$2:$C$33))+ISNUMBER(SEARCH($C$2:$C$33,BQ3))))&gt;0,1,0))</f>
        <v>1</v>
      </c>
      <c r="BT3" cm="1">
        <f t="array" ref="BT3">IF(OR(BQ3="",BQ3=0),0,IF(SUMPRODUCT((ISNUMBER(SEARCH(BQ3,$C$2:$C$33))+ISNUMBER(SEARCH($C$2:$C$33,BQ3)))*($B$2:$B$33=$B3))&gt;0,1,0))</f>
        <v>1</v>
      </c>
      <c r="BU3" s="63" t="str">
        <f>'Colin Mock wTrade'!D3</f>
        <v>David Bailey</v>
      </c>
      <c r="BV3">
        <f>IF(BU3="",0,IF(OR(ISNUMBER(SEARCH(BU3,C3)),ISNUMBER(SEARCH(C3,BU3))),1,0))</f>
        <v>1</v>
      </c>
      <c r="BW3" cm="1">
        <f t="array" ref="BW3">IF(BU3="",0,IF(SUMPRODUCT(--(ISNUMBER(SEARCH(BU3,$C$2:$C$33))+ISNUMBER(SEARCH($C$2:$C$33,BU3))))&gt;0,1,0))</f>
        <v>1</v>
      </c>
      <c r="BX3" cm="1">
        <f t="array" ref="BX3">IF(BU3="",0,IFERROR(IF(SUMPRODUCT((ISNUMBER(SEARCH(BU3,$C$2:$C$33))+ISNUMBER(SEARCH($C$2:$C$33,BU3)))*($B$2:$B$33=VLOOKUP('Colin Mock wTrade'!C3,$CA$1:$CB$32,2,FALSE)))&gt;0,1,0),0))</f>
        <v>1</v>
      </c>
      <c r="CA3" t="s">
        <v>15</v>
      </c>
      <c r="CB3" t="s">
        <v>388</v>
      </c>
      <c r="CC3" t="str">
        <f>'Other analyst '!S3</f>
        <v>David Bailey</v>
      </c>
      <c r="CD3">
        <f t="shared" ref="CD3:CD33" si="9">IF(CC3="",0,IF(OR(ISNUMBER(SEARCH(CC3,C3)),ISNUMBER(SEARCH(C3,CC3))),1,0))</f>
        <v>1</v>
      </c>
      <c r="CE3" cm="1">
        <f t="array" ref="CE3">IF(CC3="",0,IF(SUMPRODUCT(--(ISNUMBER(SEARCH(CC3,$C$2:$C$33))+ISNUMBER(SEARCH($C$2:$C$33,CC3))))&gt;0,1,0))</f>
        <v>1</v>
      </c>
      <c r="CF3" cm="1">
        <f t="array" ref="CF3">IF(CC3="",0,IF(SUMPRODUCT((ISNUMBER(SEARCH(CC3,$C$2:$C$33))+ISNUMBER(SEARCH($C$2:$C$33,CC3)))*($B$2:$B$33=$B3))&gt;0,1,0))</f>
        <v>1</v>
      </c>
      <c r="CG3" t="str">
        <f>'Other analyst '!T3</f>
        <v>Arvell Reese</v>
      </c>
      <c r="CH3">
        <f t="shared" ref="CH3:CH33" si="10">IF(CG3="",0,IF(OR(ISNUMBER(SEARCH(CG3,C3)),ISNUMBER(SEARCH(C3,CG3))),1,0))</f>
        <v>0</v>
      </c>
      <c r="CI3" cm="1">
        <f t="array" ref="CI3">IF(CG3="",0,IF(SUMPRODUCT(--(ISNUMBER(SEARCH(CG3,$C$2:$C$33))+ISNUMBER(SEARCH($C$2:$C$33,CG3))))&gt;0,1,0))</f>
        <v>1</v>
      </c>
      <c r="CJ3" cm="1">
        <f t="array" ref="CJ3">IF(CG3="",0,IF(SUMPRODUCT((ISNUMBER(SEARCH(CG3,$C$2:$C$33))+ISNUMBER(SEARCH($C$2:$C$33,CG3)))*($B$2:$B$33=$B3))&gt;0,1,0))</f>
        <v>0</v>
      </c>
      <c r="CK3" t="str">
        <f>'Other analyst '!U3</f>
        <v>Arvell Reese</v>
      </c>
      <c r="CL3">
        <f t="shared" ref="CL3:CL33" si="11">IF(CK3="",0,IF(OR(ISNUMBER(SEARCH(CK3,C3)),ISNUMBER(SEARCH(C3,CK3))),1,0))</f>
        <v>0</v>
      </c>
      <c r="CM3" cm="1">
        <f t="array" ref="CM3">IF(CK3="",0,IF(SUMPRODUCT(--(ISNUMBER(SEARCH(CK3,$C$2:$C$33))+ISNUMBER(SEARCH($C$2:$C$33,CK3))))&gt;0,1,0))</f>
        <v>1</v>
      </c>
      <c r="CN3" cm="1">
        <f t="array" ref="CN3">IF(CK3="",0,IF(SUMPRODUCT((ISNUMBER(SEARCH(CK3,$C$2:$C$33))+ISNUMBER(SEARCH($C$2:$C$33,CK3)))*($B$2:$B$33=$B3))&gt;0,1,0))</f>
        <v>0</v>
      </c>
      <c r="CO3" t="str">
        <f>'Other analyst '!V3</f>
        <v>Fernando Mendoza</v>
      </c>
      <c r="CP3">
        <f t="shared" ref="CP3:CP33" si="12">IF(CO3="",0,IF(OR(ISNUMBER(SEARCH(CO3,C3)),ISNUMBER(SEARCH(C3,CO3))),1,0))</f>
        <v>0</v>
      </c>
      <c r="CQ3" cm="1">
        <f t="array" ref="CQ3">IF(CO3="",0,IF(SUMPRODUCT(--(ISNUMBER(SEARCH(CO3,$C$2:$C$33))+ISNUMBER(SEARCH($C$2:$C$33,CO3))))&gt;0,1,0))</f>
        <v>1</v>
      </c>
      <c r="CR3" cm="1">
        <f t="array" ref="CR3">IF(CO3="",0,IF(SUMPRODUCT((ISNUMBER(SEARCH(CO3,$C$2:$C$33))+ISNUMBER(SEARCH($C$2:$C$33,CO3)))*($B$2:$B$33=$B3))&gt;0,1,0))</f>
        <v>0</v>
      </c>
      <c r="CS3" s="35" t="str">
        <f>'Other analyst '!W3</f>
        <v>David Bailey</v>
      </c>
      <c r="CT3">
        <f t="shared" ref="CT3:CT33" si="13">IF(CS3="",0,IF(OR(ISNUMBER(SEARCH(CS3,C3)),ISNUMBER(SEARCH(C3,CS3))),1,0))</f>
        <v>1</v>
      </c>
      <c r="CU3" cm="1">
        <f t="array" ref="CU3">IF(CS3="",0,IF(SUMPRODUCT(--(ISNUMBER(SEARCH(CS3,$C$2:$C$33))+ISNUMBER(SEARCH($C$2:$C$33,CS3))))&gt;0,1,0))</f>
        <v>1</v>
      </c>
      <c r="CV3" cm="1">
        <f t="array" ref="CV3">IF(CS3="",0,IFERROR(IF(SUMPRODUCT((ISNUMBER(SEARCH(CS3,$C$2:$C$33))+ISNUMBER(SEARCH($C$2:$C$33,CS3)))*(ISNUMBER(SEARCH($B$2:$B$33,'Other analyst '!B3))+ISNUMBER(SEARCH('Other analyst '!B3,$B$2:$B$33))))&gt;0,1,0),0))</f>
        <v>1</v>
      </c>
      <c r="CW3" s="35" t="str">
        <f>'Other analyst '!AD3</f>
        <v>David Bailey</v>
      </c>
      <c r="CX3">
        <f t="shared" ref="CX3:CX33" si="14">IF(CW3="",0,IF(OR(ISNUMBER(SEARCH(CW3,C3)),ISNUMBER(SEARCH(C3,CW3))),1,0))</f>
        <v>1</v>
      </c>
      <c r="CY3" cm="1">
        <f t="array" ref="CY3">IF(CW3="",0,IF(SUMPRODUCT(--(ISNUMBER(SEARCH(CW3,$C$2:$C$33))+ISNUMBER(SEARCH($C$2:$C$33,CW3))))&gt;0,1,0))</f>
        <v>1</v>
      </c>
      <c r="CZ3" cm="1">
        <f t="array" ref="CZ3">IF(CW3="",0,IF(SUMPRODUCT((ISNUMBER(SEARCH(CW3,$C$2:$C$33))+ISNUMBER(SEARCH($C$2:$C$33,CW3)))*($B$2:$B$33=$B3))&gt;0,1,0))</f>
        <v>1</v>
      </c>
      <c r="DA3" s="35" t="str">
        <f>'Other analyst '!AE3</f>
        <v>Arvell Reese</v>
      </c>
      <c r="DB3">
        <f t="shared" ref="DB3:DB33" si="15">IF(DA3="",0,IF(OR(ISNUMBER(SEARCH(DA3,C3)),ISNUMBER(SEARCH(C3,DA3))),1,0))</f>
        <v>0</v>
      </c>
      <c r="DC3" cm="1">
        <f t="array" ref="DC3">IF(DA3="",0,IF(SUMPRODUCT(--(ISNUMBER(SEARCH(DA3,$C$2:$C$33))+ISNUMBER(SEARCH($C$2:$C$33,DA3))))&gt;0,1,0))</f>
        <v>1</v>
      </c>
      <c r="DD3" cm="1">
        <f t="array" ref="DD3">IF(DA3="",0,IF(SUMPRODUCT((ISNUMBER(SEARCH(DA3,$C$2:$C$33))+ISNUMBER(SEARCH($C$2:$C$33,DA3)))*($B$2:$B$33=$B3))&gt;0,1,0))</f>
        <v>0</v>
      </c>
      <c r="DE3" s="36" t="str">
        <f>'Other analyst '!AF3</f>
        <v>David Bailey</v>
      </c>
      <c r="DF3">
        <f t="shared" ref="DF3:DF33" si="16">IF(DE3="",0,IF(OR(ISNUMBER(SEARCH(DE3,C3)),ISNUMBER(SEARCH(C3,DE3))),1,0))</f>
        <v>1</v>
      </c>
      <c r="DG3" cm="1">
        <f t="array" ref="DG3">IF(DE3="",0,IF(SUMPRODUCT(--(ISNUMBER(SEARCH(DE3,$C$2:$C$33))+ISNUMBER(SEARCH($C$2:$C$33,DE3))))&gt;0,1,0))</f>
        <v>1</v>
      </c>
      <c r="DH3" cm="1">
        <f t="array" ref="DH3">IF(DE3="",0,IF(SUMPRODUCT((ISNUMBER(SEARCH(DE3,$C$2:$C$33))+ISNUMBER(SEARCH($C$2:$C$33,DE3)))*($B$2:$B$33=$B3))&gt;0,1,0))</f>
        <v>1</v>
      </c>
      <c r="DI3" s="35" t="str">
        <f>'Other analyst '!AG3</f>
        <v>David Bailey</v>
      </c>
      <c r="DJ3">
        <f t="shared" ref="DJ3:DJ33" si="17">IF(DI3="",0,IF(OR(ISNUMBER(SEARCH(DI3,C3)),ISNUMBER(SEARCH(C3,DI3))),1,0))</f>
        <v>1</v>
      </c>
      <c r="DK3" cm="1">
        <f t="array" ref="DK3">IF(DI3="",0,IF(SUMPRODUCT(--(ISNUMBER(SEARCH(DI3,$C$2:$C$33))+ISNUMBER(SEARCH($C$2:$C$33,DI3))))&gt;0,1,0))</f>
        <v>1</v>
      </c>
      <c r="DL3" cm="1">
        <f t="array" ref="DL3">IF(DI3="",0,IF(SUMPRODUCT((ISNUMBER(SEARCH(DI3,$C$2:$C$33))+ISNUMBER(SEARCH($C$2:$C$33,DI3)))*($B$2:$B$33=$B3))&gt;0,1,0))</f>
        <v>1</v>
      </c>
      <c r="DM3" s="35" t="str">
        <f>'Other analyst '!AB3</f>
        <v>David Bailey</v>
      </c>
      <c r="DN3">
        <f t="shared" ref="DN3:DN33" si="18">IF(DM3="",0,IF(OR(ISNUMBER(SEARCH(DM3,C3)),ISNUMBER(SEARCH(C3,DM3))),1,0))</f>
        <v>1</v>
      </c>
      <c r="DO3" cm="1">
        <f t="array" ref="DO3">IF(DM3="",0,IF(SUMPRODUCT(--(ISNUMBER(SEARCH(DM3,$C$2:$C$33))+ISNUMBER(SEARCH($C$2:$C$33,DM3))))&gt;0,1,0))</f>
        <v>1</v>
      </c>
      <c r="DP3" cm="1">
        <f t="array" ref="DP3">IF(DM3="",0,IFERROR(IF(SUMPRODUCT((ISNUMBER(SEARCH(DM3,$C$2:$C$33))+ISNUMBER(SEARCH($C$2:$C$33,DM3)))*(ISNUMBER(SEARCH($B$2:$B$33,'Other analyst '!B3))+ISNUMBER(SEARCH('Other analyst '!B3,$B$2:$B$33))))&gt;0,1,0),0))</f>
        <v>1</v>
      </c>
      <c r="DQ3" s="36" t="str">
        <f>'Other analyst '!AC3</f>
        <v>Arvell Reese</v>
      </c>
      <c r="DR3">
        <f t="shared" ref="DR3:DR33" si="19">IF(DQ3="",0,IF(OR(ISNUMBER(SEARCH(DQ3,C3)),ISNUMBER(SEARCH(C3,DQ3))),1,0))</f>
        <v>0</v>
      </c>
      <c r="DS3" cm="1">
        <f t="array" ref="DS3">IF(DQ3="",0,IF(SUMPRODUCT(--(ISNUMBER(SEARCH(DQ3,$C$2:$C$33))+ISNUMBER(SEARCH($C$2:$C$33,DQ3))))&gt;0,1,0))</f>
        <v>1</v>
      </c>
      <c r="DT3" cm="1">
        <f t="array" ref="DT3">IF(DQ3="",0,IFERROR(IF(SUMPRODUCT((ISNUMBER(SEARCH(DQ3,$C$2:$C$33))+ISNUMBER(SEARCH($C$2:$C$33,DQ3)))*(ISNUMBER(SEARCH($B$2:$B$33,'Other analyst '!B3))+ISNUMBER(SEARCH('Other analyst '!B3,$B$2:$B$33))))&gt;0,1,0),0))</f>
        <v>0</v>
      </c>
      <c r="DU3" t="str">
        <f>IFERROR(TRIM(LEFT(IF(ISNUMBER(SEARCH("]",'Other analyst '!X3)),MID('Other analyst '!X3,SEARCH("]",'Other analyst '!X3)+1,200),'Other analyst '!X3),IFERROR(SEARCH(" (",IF(ISNUMBER(SEARCH("]",'Other analyst '!X3)),MID('Other analyst '!X3,SEARCH("]",'Other analyst '!X3)+1,200),'Other analyst '!X3))-1,LEN('Other analyst '!X3)))),"")</f>
        <v>David Bailey</v>
      </c>
      <c r="DV3">
        <f>IF(DU3="",0,IF(OR(ISNUMBER(SEARCH(DU3,C3)),ISNUMBER(SEARCH(C3,DU3))),1,0))</f>
        <v>1</v>
      </c>
      <c r="DW3" cm="1">
        <f t="array" ref="DW3">IF(DU3="",0,IF(SUMPRODUCT((ISNUMBER(SEARCH(DU3,$C$2:$C$33))+ISNUMBER(SEARCH($C$2:$C$33,DU3))))&gt;0,1,0))</f>
        <v>1</v>
      </c>
      <c r="DX3">
        <v>0</v>
      </c>
      <c r="DY3" t="str">
        <f>IFERROR(TRIM(LEFT(IF(ISNUMBER(SEARCH("]",'Other analyst '!Y3)),MID('Other analyst '!Y3,SEARCH("]",'Other analyst '!Y3)+1,200),'Other analyst '!Y3),IFERROR(SEARCH(" (",IF(ISNUMBER(SEARCH("]",'Other analyst '!Y3)),MID('Other analyst '!Y3,SEARCH("]",'Other analyst '!Y3)+1,200),'Other analyst '!Y3))-1,LEN('Other analyst '!Y3)))),"")</f>
        <v>David Bailey</v>
      </c>
      <c r="DZ3">
        <f>IF(DY3="",0,IF(OR(ISNUMBER(SEARCH(DY3,C3)),ISNUMBER(SEARCH(C3,DY3))),1,0))</f>
        <v>1</v>
      </c>
      <c r="EA3" cm="1">
        <f t="array" ref="EA3">IF(DY3="",0,IF(SUMPRODUCT((ISNUMBER(SEARCH(DY3,$C$2:$C$33))+ISNUMBER(SEARCH($C$2:$C$33,DY3))))&gt;0,1,0))</f>
        <v>1</v>
      </c>
      <c r="EB3">
        <v>0</v>
      </c>
      <c r="EC3" t="str">
        <f>IFERROR(TRIM(LEFT(IF(ISNUMBER(SEARCH("]",'Other analyst '!Z3)),MID('Other analyst '!Z3,SEARCH("]",'Other analyst '!Z3)+1,200),'Other analyst '!Z3),IFERROR(SEARCH(" (",IF(ISNUMBER(SEARCH("]",'Other analyst '!Z3)),MID('Other analyst '!Z3,SEARCH("]",'Other analyst '!Z3)+1,200),'Other analyst '!Z3))-1,LEN('Other analyst '!Z3)))),"")</f>
        <v>Arvell Reese</v>
      </c>
      <c r="ED3">
        <f>IF(EC3="",0,IF(OR(ISNUMBER(SEARCH(EC3,C3)),ISNUMBER(SEARCH(C3,EC3))),1,0))</f>
        <v>0</v>
      </c>
      <c r="EE3" cm="1">
        <f t="array" ref="EE3">IF(EC3="",0,IF(SUMPRODUCT((ISNUMBER(SEARCH(EC3,$C$2:$C$33))+ISNUMBER(SEARCH($C$2:$C$33,EC3))))&gt;0,1,0))</f>
        <v>1</v>
      </c>
      <c r="EF3">
        <v>0</v>
      </c>
      <c r="EG3" t="str">
        <f>IFERROR(TRIM(LEFT(IF(ISNUMBER(SEARCH("]",'Other analyst '!AA3)),MID('Other analyst '!AA3,SEARCH("]",'Other analyst '!AA3)+1,200),'Other analyst '!AA3),IFERROR(SEARCH(" (",IF(ISNUMBER(SEARCH("]",'Other analyst '!AA3)),MID('Other analyst '!AA3,SEARCH("]",'Other analyst '!AA3)+1,200),'Other analyst '!AA3))-1,LEN('Other analyst '!AA3)))),"")</f>
        <v>David Bailey</v>
      </c>
      <c r="EH3">
        <f>IF(EG3="",0,IF(OR(ISNUMBER(SEARCH(EG3,C3)),ISNUMBER(SEARCH(C3,EG3))),1,0))</f>
        <v>1</v>
      </c>
      <c r="EI3" cm="1">
        <f t="array" ref="EI3">IF(EG3="",0,IF(SUMPRODUCT((ISNUMBER(SEARCH(EG3,$C$2:$C$33))+ISNUMBER(SEARCH($C$2:$C$33,EG3))))&gt;0,1,0))</f>
        <v>1</v>
      </c>
      <c r="EJ3">
        <v>0</v>
      </c>
      <c r="EK3">
        <f>K3+L3+M3+N3+O3+P3+AF3+AI3+AL3+AP3+AT3+AX3+BB3+BF3+BJ3+BN3+BR3+BV3+CD3+CH3+CL3+CP3+CT3+DV3+DZ3+ED3+EH3+DN3+DR3+CX3+DB3+DF3+DJ3</f>
        <v>23</v>
      </c>
    </row>
    <row r="4" spans="1:141">
      <c r="A4" s="30">
        <v>3</v>
      </c>
      <c r="B4" s="30" t="str">
        <f>'Actual nfl first round'!C4</f>
        <v>Cardinals</v>
      </c>
      <c r="C4" s="31" t="str" cm="1">
        <f t="array" ref="C4">_xlfn.LET(_xlpm.actual, 'Actual nfl first round'!D4,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Jeremiyah Love</v>
      </c>
      <c r="D4" s="32" t="str">
        <f>'Colin''s Mock'!D4</f>
        <v>Arvell Reese</v>
      </c>
      <c r="E4" s="32" t="str">
        <f>_xlfn.LET(_xlpm.raw, 'Other analyst '!C4, _xlpm.s, IF(LEFT(_xlpm.raw,1)="[", MID(_xlpm.raw, FIND("] ",_xlpm.raw)+2, 999), _xlpm.raw), IFERROR(TRIM(LEFT(_xlpm.s, FIND(" (",_xlpm.s)-1)), _xlpm.raw))</f>
        <v>Jeremiyah Love</v>
      </c>
      <c r="F4" s="32" t="str">
        <f>_xlfn.LET(_xlpm.raw, 'Other analyst '!D4, _xlpm.s, IF(LEFT(_xlpm.raw,1)="[", MID(_xlpm.raw, FIND("] ",_xlpm.raw)+2, 999), _xlpm.raw), IFERROR(TRIM(LEFT(_xlpm.s, FIND(" (",_xlpm.s)-1)), _xlpm.raw))</f>
        <v>Arvell Reese</v>
      </c>
      <c r="G4" s="32" t="str">
        <f>_xlfn.LET(_xlpm.raw, 'Other analyst '!E4, _xlpm.s, IF(LEFT(_xlpm.raw,1)="[", MID(_xlpm.raw, FIND("] ",_xlpm.raw)+2, 999), _xlpm.raw), IFERROR(TRIM(LEFT(_xlpm.s, FIND(" (",_xlpm.s)-1)), _xlpm.raw))</f>
        <v>Jeremiyah Love</v>
      </c>
      <c r="H4" s="32" t="str">
        <f>_xlfn.LET(_xlpm.raw, 'Other analyst '!F4, _xlpm.s, IF(LEFT(_xlpm.raw,1)="[", MID(_xlpm.raw, FIND("] ",_xlpm.raw)+2, 999), _xlpm.raw), IFERROR(TRIM(LEFT(_xlpm.s, FIND(" (",_xlpm.s)-1)), _xlpm.raw))</f>
        <v>Arvell Reese</v>
      </c>
      <c r="I4" s="32" t="str">
        <f>_xlfn.LET(_xlpm.raw, 'Other analyst '!G4, _xlpm.s, IF(LEFT(_xlpm.raw,1)="[", MID(_xlpm.raw, FIND("] ",_xlpm.raw)+2, 999), _xlpm.raw), IFERROR(TRIM(LEFT(_xlpm.s, FIND(" (",_xlpm.s)-1)), _xlpm.raw))</f>
        <v>Francis Mauigoa</v>
      </c>
      <c r="K4" s="1">
        <f t="shared" si="0"/>
        <v>0</v>
      </c>
      <c r="L4" s="1">
        <f t="shared" si="1"/>
        <v>1</v>
      </c>
      <c r="M4" s="1">
        <f t="shared" si="2"/>
        <v>0</v>
      </c>
      <c r="N4" s="1">
        <f t="shared" si="3"/>
        <v>1</v>
      </c>
      <c r="O4" s="1">
        <f t="shared" si="4"/>
        <v>0</v>
      </c>
      <c r="P4" s="1">
        <f t="shared" si="5"/>
        <v>0</v>
      </c>
      <c r="Q4" s="1" cm="1">
        <f t="array" ref="Q4">IF(D4="", 0, IF(SUMPRODUCT(--(ISNUMBER(SEARCH(D4, $C$2:$C$33)) + ISNUMBER(SEARCH($C$2:$C$33, D4))))&gt;0, 1, 0))</f>
        <v>1</v>
      </c>
      <c r="R4" s="1" cm="1">
        <f t="array" ref="R4">IF(E4="", 0, IF(SUMPRODUCT(--(ISNUMBER(SEARCH(E4, $C$2:$C$33)) + ISNUMBER(SEARCH($C$2:$C$33, E4))))&gt;0, 1, 0))</f>
        <v>1</v>
      </c>
      <c r="S4" s="1" cm="1">
        <f t="array" ref="S4">IF(F4="", 0, IF(SUMPRODUCT(--(ISNUMBER(SEARCH(F4, $C$2:$C$33)) + ISNUMBER(SEARCH($C$2:$C$33, F4))))&gt;0, 1, 0))</f>
        <v>1</v>
      </c>
      <c r="T4" s="1" cm="1">
        <f t="array" ref="T4">IF(G4="", 0, IF(SUMPRODUCT(--(ISNUMBER(SEARCH(G4, $C$2:$C$33)) + ISNUMBER(SEARCH($C$2:$C$33, G4))))&gt;0, 1, 0))</f>
        <v>1</v>
      </c>
      <c r="U4" s="1" cm="1">
        <f t="array" ref="U4">IF(H4="", 0, IF(SUMPRODUCT(--(ISNUMBER(SEARCH(H4, $C$2:$C$33)) + ISNUMBER(SEARCH($C$2:$C$33, H4))))&gt;0, 1, 0))</f>
        <v>1</v>
      </c>
      <c r="V4" s="1" cm="1">
        <f t="array" ref="V4">IF(I4="", 0, IF(SUMPRODUCT(--(ISNUMBER(SEARCH(I4, $C$2:$C$33)) + ISNUMBER(SEARCH($C$2:$C$33, I4))))&gt;0, 1, 0))</f>
        <v>1</v>
      </c>
      <c r="W4" s="1" cm="1">
        <f t="array" ref="W4">IF(D4="",0,IF(SUMPRODUCT((ISNUMBER(SEARCH(D4,$C$2:$C$33))+ISNUMBER(SEARCH($C$2:$C$33,D4)))*($B$2:$B$33=$B4))&gt;0,1,0))</f>
        <v>0</v>
      </c>
      <c r="X4" s="1" cm="1">
        <f t="array" ref="X4">IF(E4="",0,IF(SUMPRODUCT((ISNUMBER(SEARCH(E4,$C$2:$C$33))+ISNUMBER(SEARCH($C$2:$C$33,E4)))*($B$2:$B$33=$B4))&gt;0,1,0))</f>
        <v>1</v>
      </c>
      <c r="Y4" s="1" cm="1">
        <f t="array" ref="Y4">IF(F4="",0,IF(SUMPRODUCT((ISNUMBER(SEARCH(F4,$C$2:$C$33))+ISNUMBER(SEARCH($C$2:$C$33,F4)))*($B$2:$B$33=$B4))&gt;0,1,0))</f>
        <v>0</v>
      </c>
      <c r="Z4" s="1" cm="1">
        <f t="array" ref="Z4">IF(G4="",0,IF(SUMPRODUCT((ISNUMBER(SEARCH(G4,$C$2:$C$33))+ISNUMBER(SEARCH($C$2:$C$33,G4)))*($B$2:$B$33=$B4))&gt;0,1,0))</f>
        <v>1</v>
      </c>
      <c r="AA4" s="1" cm="1">
        <f t="array" ref="AA4">IF(H4="",0,IF(SUMPRODUCT((ISNUMBER(SEARCH(H4,$C$2:$C$33))+ISNUMBER(SEARCH($C$2:$C$33,H4)))*($B$2:$B$33=$B4))&gt;0,1,0))</f>
        <v>0</v>
      </c>
      <c r="AB4" s="1" cm="1">
        <f t="array" ref="AB4">IF(I4="",0,IF(SUMPRODUCT((ISNUMBER(SEARCH(I4,$C$2:$C$33))+ISNUMBER(SEARCH($C$2:$C$33,I4)))*($B$2:$B$33=$B4))&gt;0,1,0))</f>
        <v>0</v>
      </c>
      <c r="AC4" s="36" t="s">
        <v>16</v>
      </c>
      <c r="AD4" s="36" t="s">
        <v>16</v>
      </c>
      <c r="AE4" s="36" t="s">
        <v>12</v>
      </c>
      <c r="AF4">
        <f t="shared" si="6"/>
        <v>0</v>
      </c>
      <c r="AG4" cm="1">
        <f t="array" ref="AG4">IF(AC4="",0,IF(SUMPRODUCT((ISNUMBER(SEARCH(AC4,$C$2:$C$33))+ISNUMBER(SEARCH($C$2:$C$33,AC4))))&gt;0,1,0))</f>
        <v>1</v>
      </c>
      <c r="AH4" cm="1">
        <f t="array" ref="AH4">IF(AC4="",0,IF(SUMPRODUCT((ISNUMBER(SEARCH(AC4,$C$2:$C$33))+ISNUMBER(SEARCH($C$2:$C$33,AC4)))*($B$2:$B$33=$B4))&gt;0,1,0))</f>
        <v>0</v>
      </c>
      <c r="AI4">
        <f t="shared" si="7"/>
        <v>0</v>
      </c>
      <c r="AJ4" cm="1">
        <f t="array" ref="AJ4">IF(AD4="",0,IF(SUMPRODUCT((ISNUMBER(SEARCH(AD4,$C$2:$C$33))+ISNUMBER(SEARCH($C$2:$C$33,AD4))))&gt;0,1,0))</f>
        <v>1</v>
      </c>
      <c r="AK4" cm="1">
        <f t="array" ref="AK4">IF(AD4="",0,IF(SUMPRODUCT((ISNUMBER(SEARCH(AD4,$C$2:$C$33))+ISNUMBER(SEARCH($C$2:$C$33,AD4)))*($B$2:$B$33=$B4))&gt;0,1,0))</f>
        <v>0</v>
      </c>
      <c r="AL4">
        <f t="shared" si="8"/>
        <v>0</v>
      </c>
      <c r="AM4" cm="1">
        <f t="array" ref="AM4">IF(AE4="",0,IF(SUMPRODUCT((ISNUMBER(SEARCH(AE4,$C$2:$C$33))+ISNUMBER(SEARCH($C$2:$C$33,AE4))))&gt;0,1,0))</f>
        <v>1</v>
      </c>
      <c r="AN4" cm="1">
        <f t="array" ref="AN4">IF(AE4="",0,IF(SUMPRODUCT((ISNUMBER(SEARCH(AE4,$C$2:$C$33))+ISNUMBER(SEARCH($C$2:$C$33,AE4)))*($B$2:$B$33=$B4))&gt;0,1,0))</f>
        <v>0</v>
      </c>
      <c r="AO4" s="17" t="str" cm="1">
        <f t="array" ref="AO4">_xlfn.LET(_xlpm.raw,'Other analyst '!K4,_xlpm.mockNames,'Colin''s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Jeremiyah Love</v>
      </c>
      <c r="AP4">
        <f>IF(OR(AO4="",AO4=0),0,IF(OR(ISNUMBER(SEARCH(AO4,$C4)),ISNUMBER(SEARCH($C4,AO4))),1,0))</f>
        <v>1</v>
      </c>
      <c r="AQ4" cm="1">
        <f t="array" ref="AQ4">IF(OR(AO4="",AO4=0),0,IF(SUMPRODUCT(--(ISNUMBER(SEARCH(AO4,$C$2:$C$33))+ISNUMBER(SEARCH($C$2:$C$33,AO4))))&gt;0,1,0))</f>
        <v>1</v>
      </c>
      <c r="AR4" cm="1">
        <f t="array" ref="AR4">IF(OR(AO4="",AO4=0),0,IF(SUMPRODUCT((ISNUMBER(SEARCH(AO4,$C$2:$C$33))+ISNUMBER(SEARCH($C$2:$C$33,AO4)))*($B$2:$B$33=$B4))&gt;0,1,0))</f>
        <v>1</v>
      </c>
      <c r="AS4" s="64" t="str" cm="1">
        <f t="array" ref="AS4">_xlfn.LET(_xlpm.raw,'Other analyst '!L4,_xlpm.mockNames,'Colin''s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Arvell Reese</v>
      </c>
      <c r="AT4">
        <f>IF(OR(AS4="",AS4=0),0,IF(OR(ISNUMBER(SEARCH(AS4,$C4)),ISNUMBER(SEARCH($C4,AS4))),1,0))</f>
        <v>0</v>
      </c>
      <c r="AU4" cm="1">
        <f t="array" ref="AU4">IF(OR(AS4="",AS4=0),0,IF(SUMPRODUCT(--(ISNUMBER(SEARCH(AS4,$C$2:$C$33))+ISNUMBER(SEARCH($C$2:$C$33,AS4))))&gt;0,1,0))</f>
        <v>1</v>
      </c>
      <c r="AV4" cm="1">
        <f t="array" ref="AV4">IF(OR(AS4="",AS4=0),0,IF(SUMPRODUCT((ISNUMBER(SEARCH(AS4,$C$2:$C$33))+ISNUMBER(SEARCH($C$2:$C$33,AS4)))*($B$2:$B$33=$B4))&gt;0,1,0))</f>
        <v>0</v>
      </c>
      <c r="AW4" s="17" t="str" cm="1">
        <f t="array" ref="AW4">_xlfn.LET(_xlpm.raw,'Other analyst '!M4,_xlpm.mockNames,'Colin''s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Jeremiyah Love</v>
      </c>
      <c r="AX4">
        <f>IF(OR(AW4="",AW4=0),0,IF(OR(ISNUMBER(SEARCH(AW4,$C4)),ISNUMBER(SEARCH($C4,AW4))),1,0))</f>
        <v>1</v>
      </c>
      <c r="AY4" cm="1">
        <f t="array" ref="AY4">IF(OR(AW4="",AW4=0),0,IF(SUMPRODUCT(--(ISNUMBER(SEARCH(AW4,$C$2:$C$33))+ISNUMBER(SEARCH($C$2:$C$33,AW4))))&gt;0,1,0))</f>
        <v>1</v>
      </c>
      <c r="AZ4" cm="1">
        <f t="array" ref="AZ4">IF(OR(AW4="",AW4=0),0,IF(SUMPRODUCT((ISNUMBER(SEARCH(AW4,$C$2:$C$33))+ISNUMBER(SEARCH($C$2:$C$33,AW4)))*($B$2:$B$33=$B4))&gt;0,1,0))</f>
        <v>1</v>
      </c>
      <c r="BA4" s="17" t="str" cm="1">
        <f t="array" ref="BA4">_xlfn.LET(_xlpm.raw,'Other analyst '!N4,_xlpm.mockNames,'Colin''s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Jeremiyah Love</v>
      </c>
      <c r="BB4">
        <f>IF(OR(BA4="",BA4=0),0,IF(OR(ISNUMBER(SEARCH(BA4,$C4)),ISNUMBER(SEARCH($C4,BA4))),1,0))</f>
        <v>1</v>
      </c>
      <c r="BC4" cm="1">
        <f t="array" ref="BC4">IF(OR(BA4="",BA4=0),0,IF(SUMPRODUCT(--(ISNUMBER(SEARCH(BA4,$C$2:$C$33))+ISNUMBER(SEARCH($C$2:$C$33,BA4))))&gt;0,1,0))</f>
        <v>1</v>
      </c>
      <c r="BD4" cm="1">
        <f t="array" ref="BD4">IF(OR(BA4="",BA4=0),0,IF(SUMPRODUCT((ISNUMBER(SEARCH(BA4,$C$2:$C$33))+ISNUMBER(SEARCH($C$2:$C$33,BA4)))*($B$2:$B$33=$B4))&gt;0,1,0))</f>
        <v>1</v>
      </c>
      <c r="BE4" s="64" t="str" cm="1">
        <f t="array" ref="BE4">_xlfn.LET(_xlpm.raw,'Other analyst '!O4,_xlpm.mockNames,'Colin''s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Arvell Reese</v>
      </c>
      <c r="BF4">
        <f>IF(OR(BE4="",BE4=0),0,IF(OR(ISNUMBER(SEARCH(BE4,$C4)),ISNUMBER(SEARCH($C4,BE4))),1,0))</f>
        <v>0</v>
      </c>
      <c r="BG4" cm="1">
        <f t="array" ref="BG4">IF(OR(BE4="",BE4=0),0,IF(SUMPRODUCT(--(ISNUMBER(SEARCH(BE4,$C$2:$C$33))+ISNUMBER(SEARCH($C$2:$C$33,BE4))))&gt;0,1,0))</f>
        <v>1</v>
      </c>
      <c r="BH4" cm="1">
        <f t="array" ref="BH4">IF(OR(BE4="",BE4=0),0,IF(SUMPRODUCT((ISNUMBER(SEARCH(BE4,$C$2:$C$33))+ISNUMBER(SEARCH($C$2:$C$33,BE4)))*($B$2:$B$33=$B4))&gt;0,1,0))</f>
        <v>0</v>
      </c>
      <c r="BI4" s="64" t="str" cm="1">
        <f t="array" ref="BI4">_xlfn.LET(_xlpm.raw,'Other analyst '!P4,_xlpm.mockNames,'Colin''s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David Bailey</v>
      </c>
      <c r="BJ4">
        <f>IF(OR(BI4="",BI4=0),0,IF(OR(ISNUMBER(SEARCH(BI4,$C4)),ISNUMBER(SEARCH($C4,BI4))),1,0))</f>
        <v>0</v>
      </c>
      <c r="BK4" cm="1">
        <f t="array" ref="BK4">IF(OR(BI4="",BI4=0),0,IF(SUMPRODUCT(--(ISNUMBER(SEARCH(BI4,$C$2:$C$33))+ISNUMBER(SEARCH($C$2:$C$33,BI4))))&gt;0,1,0))</f>
        <v>1</v>
      </c>
      <c r="BL4" cm="1">
        <f t="array" ref="BL4">IF(OR(BI4="",BI4=0),0,IF(SUMPRODUCT((ISNUMBER(SEARCH(BI4,$C$2:$C$33))+ISNUMBER(SEARCH($C$2:$C$33,BI4)))*($B$2:$B$33=$B4))&gt;0,1,0))</f>
        <v>0</v>
      </c>
      <c r="BM4" s="17" t="str" cm="1">
        <f t="array" ref="BM4">_xlfn.LET(_xlpm.raw,'Other analyst '!Q4,_xlpm.mockNames,'Colin''s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Jeremiyah Love</v>
      </c>
      <c r="BN4">
        <f>IF(OR(BM4="",BM4=0),0,IF(OR(ISNUMBER(SEARCH(BM4,$C4)),ISNUMBER(SEARCH($C4,BM4))),1,0))</f>
        <v>1</v>
      </c>
      <c r="BO4" cm="1">
        <f t="array" ref="BO4">IF(OR(BM4="",BM4=0),0,IF(SUMPRODUCT(--(ISNUMBER(SEARCH(BM4,$C$2:$C$33))+ISNUMBER(SEARCH($C$2:$C$33,BM4))))&gt;0,1,0))</f>
        <v>1</v>
      </c>
      <c r="BP4" cm="1">
        <f t="array" ref="BP4">IF(OR(BM4="",BM4=0),0,IF(SUMPRODUCT((ISNUMBER(SEARCH(BM4,$C$2:$C$33))+ISNUMBER(SEARCH($C$2:$C$33,BM4)))*($B$2:$B$33=$B4))&gt;0,1,0))</f>
        <v>1</v>
      </c>
      <c r="BQ4" s="64" t="str" cm="1">
        <f t="array" ref="BQ4">_xlfn.LET(_xlpm.raw,'Other analyst '!R4,_xlpm.mockNames,'Colin''s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Arvell Reese</v>
      </c>
      <c r="BR4">
        <f>IF(OR(BQ4="",BQ4=0),0,IF(OR(ISNUMBER(SEARCH(BQ4,$C4)),ISNUMBER(SEARCH($C4,BQ4))),1,0))</f>
        <v>0</v>
      </c>
      <c r="BS4" cm="1">
        <f t="array" ref="BS4">IF(OR(BQ4="",BQ4=0),0,IF(SUMPRODUCT(--(ISNUMBER(SEARCH(BQ4,$C$2:$C$33))+ISNUMBER(SEARCH($C$2:$C$33,BQ4))))&gt;0,1,0))</f>
        <v>1</v>
      </c>
      <c r="BT4" cm="1">
        <f t="array" ref="BT4">IF(OR(BQ4="",BQ4=0),0,IF(SUMPRODUCT((ISNUMBER(SEARCH(BQ4,$C$2:$C$33))+ISNUMBER(SEARCH($C$2:$C$33,BQ4)))*($B$2:$B$33=$B4))&gt;0,1,0))</f>
        <v>0</v>
      </c>
      <c r="BU4" s="76" t="str">
        <f>'Colin Mock wTrade'!D4</f>
        <v>Arvell Reese</v>
      </c>
      <c r="BV4">
        <f>IF(BU4="",0,IF(OR(ISNUMBER(SEARCH(BU4,C4)),ISNUMBER(SEARCH(C4,BU4))),1,0))</f>
        <v>0</v>
      </c>
      <c r="BW4" cm="1">
        <f t="array" ref="BW4">IF(BU4="",0,IF(SUMPRODUCT(--(ISNUMBER(SEARCH(BU4,$C$2:$C$33))+ISNUMBER(SEARCH($C$2:$C$33,BU4))))&gt;0,1,0))</f>
        <v>1</v>
      </c>
      <c r="BX4" cm="1">
        <f t="array" ref="BX4">IF(BU4="",0,IFERROR(IF(SUMPRODUCT((ISNUMBER(SEARCH(BU4,$C$2:$C$33))+ISNUMBER(SEARCH($C$2:$C$33,BU4)))*($B$2:$B$33=VLOOKUP('Colin Mock wTrade'!C4,$CA$1:$CB$32,2,FALSE)))&gt;0,1,0),0))</f>
        <v>0</v>
      </c>
      <c r="CA4" t="s">
        <v>19</v>
      </c>
      <c r="CB4" t="s">
        <v>390</v>
      </c>
      <c r="CC4" t="str">
        <f>'Other analyst '!S4</f>
        <v>Arvell Reese</v>
      </c>
      <c r="CD4">
        <f t="shared" si="9"/>
        <v>0</v>
      </c>
      <c r="CE4" cm="1">
        <f t="array" ref="CE4">IF(CC4="",0,IF(SUMPRODUCT(--(ISNUMBER(SEARCH(CC4,$C$2:$C$33))+ISNUMBER(SEARCH($C$2:$C$33,CC4))))&gt;0,1,0))</f>
        <v>1</v>
      </c>
      <c r="CF4" cm="1">
        <f t="array" ref="CF4">IF(CC4="",0,IF(SUMPRODUCT((ISNUMBER(SEARCH(CC4,$C$2:$C$33))+ISNUMBER(SEARCH($C$2:$C$33,CC4)))*($B$2:$B$33=$B4))&gt;0,1,0))</f>
        <v>0</v>
      </c>
      <c r="CG4" t="str">
        <f>'Other analyst '!T4</f>
        <v>David Bailey</v>
      </c>
      <c r="CH4">
        <f t="shared" si="10"/>
        <v>0</v>
      </c>
      <c r="CI4" cm="1">
        <f t="array" ref="CI4">IF(CG4="",0,IF(SUMPRODUCT(--(ISNUMBER(SEARCH(CG4,$C$2:$C$33))+ISNUMBER(SEARCH($C$2:$C$33,CG4))))&gt;0,1,0))</f>
        <v>1</v>
      </c>
      <c r="CJ4" cm="1">
        <f t="array" ref="CJ4">IF(CG4="",0,IF(SUMPRODUCT((ISNUMBER(SEARCH(CG4,$C$2:$C$33))+ISNUMBER(SEARCH($C$2:$C$33,CG4)))*($B$2:$B$33=$B4))&gt;0,1,0))</f>
        <v>0</v>
      </c>
      <c r="CK4" t="str">
        <f>'Other analyst '!U4</f>
        <v>Jeremiyah Love</v>
      </c>
      <c r="CL4">
        <f t="shared" si="11"/>
        <v>1</v>
      </c>
      <c r="CM4" cm="1">
        <f t="array" ref="CM4">IF(CK4="",0,IF(SUMPRODUCT(--(ISNUMBER(SEARCH(CK4,$C$2:$C$33))+ISNUMBER(SEARCH($C$2:$C$33,CK4))))&gt;0,1,0))</f>
        <v>1</v>
      </c>
      <c r="CN4" cm="1">
        <f t="array" ref="CN4">IF(CK4="",0,IF(SUMPRODUCT((ISNUMBER(SEARCH(CK4,$C$2:$C$33))+ISNUMBER(SEARCH($C$2:$C$33,CK4)))*($B$2:$B$33=$B4))&gt;0,1,0))</f>
        <v>1</v>
      </c>
      <c r="CO4" t="str">
        <f>'Other analyst '!V4</f>
        <v>Dante Moore</v>
      </c>
      <c r="CP4">
        <f t="shared" si="12"/>
        <v>0</v>
      </c>
      <c r="CQ4" cm="1">
        <f t="array" ref="CQ4">IF(CO4="",0,IF(SUMPRODUCT(--(ISNUMBER(SEARCH(CO4,$C$2:$C$33))+ISNUMBER(SEARCH($C$2:$C$33,CO4))))&gt;0,1,0))</f>
        <v>0</v>
      </c>
      <c r="CR4" cm="1">
        <f t="array" ref="CR4">IF(CO4="",0,IF(SUMPRODUCT((ISNUMBER(SEARCH(CO4,$C$2:$C$33))+ISNUMBER(SEARCH($C$2:$C$33,CO4)))*($B$2:$B$33=$B4))&gt;0,1,0))</f>
        <v>0</v>
      </c>
      <c r="CS4" s="36" t="str">
        <f>'Other analyst '!W4</f>
        <v>Francis Mauigoa</v>
      </c>
      <c r="CT4">
        <f t="shared" si="13"/>
        <v>0</v>
      </c>
      <c r="CU4" cm="1">
        <f t="array" ref="CU4">IF(CS4="",0,IF(SUMPRODUCT(--(ISNUMBER(SEARCH(CS4,$C$2:$C$33))+ISNUMBER(SEARCH($C$2:$C$33,CS4))))&gt;0,1,0))</f>
        <v>1</v>
      </c>
      <c r="CV4" cm="1">
        <f t="array" ref="CV4">IF(CS4="",0,IFERROR(IF(SUMPRODUCT((ISNUMBER(SEARCH(CS4,$C$2:$C$33))+ISNUMBER(SEARCH($C$2:$C$33,CS4)))*(ISNUMBER(SEARCH($B$2:$B$33,'Other analyst '!B4))+ISNUMBER(SEARCH('Other analyst '!B4,$B$2:$B$33))))&gt;0,1,0),0))</f>
        <v>0</v>
      </c>
      <c r="CW4" s="35" t="str">
        <f>'Other analyst '!AD4</f>
        <v>Jeremiyah Love</v>
      </c>
      <c r="CX4">
        <f t="shared" si="14"/>
        <v>1</v>
      </c>
      <c r="CY4" cm="1">
        <f t="array" ref="CY4">IF(CW4="",0,IF(SUMPRODUCT(--(ISNUMBER(SEARCH(CW4,$C$2:$C$33))+ISNUMBER(SEARCH($C$2:$C$33,CW4))))&gt;0,1,0))</f>
        <v>1</v>
      </c>
      <c r="CZ4" cm="1">
        <f t="array" ref="CZ4">IF(CW4="",0,IF(SUMPRODUCT((ISNUMBER(SEARCH(CW4,$C$2:$C$33))+ISNUMBER(SEARCH($C$2:$C$33,CW4)))*($B$2:$B$33=$B4))&gt;0,1,0))</f>
        <v>1</v>
      </c>
      <c r="DA4" s="35" t="str">
        <f>'Other analyst '!AE4</f>
        <v>Ty Simpson</v>
      </c>
      <c r="DB4">
        <f t="shared" si="15"/>
        <v>0</v>
      </c>
      <c r="DC4" cm="1">
        <f t="array" ref="DC4">IF(DA4="",0,IF(SUMPRODUCT(--(ISNUMBER(SEARCH(DA4,$C$2:$C$33))+ISNUMBER(SEARCH($C$2:$C$33,DA4))))&gt;0,1,0))</f>
        <v>1</v>
      </c>
      <c r="DD4" cm="1">
        <f t="array" ref="DD4">IF(DA4="",0,IF(SUMPRODUCT((ISNUMBER(SEARCH(DA4,$C$2:$C$33))+ISNUMBER(SEARCH($C$2:$C$33,DA4)))*($B$2:$B$33=$B4))&gt;0,1,0))</f>
        <v>0</v>
      </c>
      <c r="DE4" s="36" t="str">
        <f>'Other analyst '!AF4</f>
        <v>Francis Mauigoa</v>
      </c>
      <c r="DF4">
        <f t="shared" si="16"/>
        <v>0</v>
      </c>
      <c r="DG4" cm="1">
        <f t="array" ref="DG4">IF(DE4="",0,IF(SUMPRODUCT(--(ISNUMBER(SEARCH(DE4,$C$2:$C$33))+ISNUMBER(SEARCH($C$2:$C$33,DE4))))&gt;0,1,0))</f>
        <v>1</v>
      </c>
      <c r="DH4" cm="1">
        <f t="array" ref="DH4">IF(DE4="",0,IF(SUMPRODUCT((ISNUMBER(SEARCH(DE4,$C$2:$C$33))+ISNUMBER(SEARCH($C$2:$C$33,DE4)))*($B$2:$B$33=$B4))&gt;0,1,0))</f>
        <v>0</v>
      </c>
      <c r="DI4" s="35" t="str">
        <f>'Other analyst '!AG4</f>
        <v>Jeremiyah Love</v>
      </c>
      <c r="DJ4">
        <f t="shared" si="17"/>
        <v>1</v>
      </c>
      <c r="DK4" cm="1">
        <f t="array" ref="DK4">IF(DI4="",0,IF(SUMPRODUCT(--(ISNUMBER(SEARCH(DI4,$C$2:$C$33))+ISNUMBER(SEARCH($C$2:$C$33,DI4))))&gt;0,1,0))</f>
        <v>1</v>
      </c>
      <c r="DL4" cm="1">
        <f t="array" ref="DL4">IF(DI4="",0,IF(SUMPRODUCT((ISNUMBER(SEARCH(DI4,$C$2:$C$33))+ISNUMBER(SEARCH($C$2:$C$33,DI4)))*($B$2:$B$33=$B4))&gt;0,1,0))</f>
        <v>1</v>
      </c>
      <c r="DM4" s="35" t="str">
        <f>'Other analyst '!AB4</f>
        <v>Jeremiyah Love</v>
      </c>
      <c r="DN4">
        <f t="shared" si="18"/>
        <v>1</v>
      </c>
      <c r="DO4" cm="1">
        <f t="array" ref="DO4">IF(DM4="",0,IF(SUMPRODUCT(--(ISNUMBER(SEARCH(DM4,$C$2:$C$33))+ISNUMBER(SEARCH($C$2:$C$33,DM4))))&gt;0,1,0))</f>
        <v>1</v>
      </c>
      <c r="DP4" cm="1">
        <f t="array" ref="DP4">IF(DM4="",0,IFERROR(IF(SUMPRODUCT((ISNUMBER(SEARCH(DM4,$C$2:$C$33))+ISNUMBER(SEARCH($C$2:$C$33,DM4)))*(ISNUMBER(SEARCH($B$2:$B$33,'Other analyst '!B4))+ISNUMBER(SEARCH('Other analyst '!B4,$B$2:$B$33))))&gt;0,1,0),0))</f>
        <v>1</v>
      </c>
      <c r="DQ4" s="36" t="str">
        <f>'Other analyst '!AC4</f>
        <v>David Bailey</v>
      </c>
      <c r="DR4">
        <f t="shared" si="19"/>
        <v>0</v>
      </c>
      <c r="DS4" cm="1">
        <f t="array" ref="DS4">IF(DQ4="",0,IF(SUMPRODUCT(--(ISNUMBER(SEARCH(DQ4,$C$2:$C$33))+ISNUMBER(SEARCH($C$2:$C$33,DQ4))))&gt;0,1,0))</f>
        <v>1</v>
      </c>
      <c r="DT4" cm="1">
        <f t="array" ref="DT4">IF(DQ4="",0,IFERROR(IF(SUMPRODUCT((ISNUMBER(SEARCH(DQ4,$C$2:$C$33))+ISNUMBER(SEARCH($C$2:$C$33,DQ4)))*(ISNUMBER(SEARCH($B$2:$B$33,'Other analyst '!B4))+ISNUMBER(SEARCH('Other analyst '!B4,$B$2:$B$33))))&gt;0,1,0),0))</f>
        <v>0</v>
      </c>
      <c r="DU4" t="str">
        <f>IFERROR(TRIM(LEFT(IF(ISNUMBER(SEARCH("]",'Other analyst '!X4)),MID('Other analyst '!X4,SEARCH("]",'Other analyst '!X4)+1,200),'Other analyst '!X4),IFERROR(SEARCH(" (",IF(ISNUMBER(SEARCH("]",'Other analyst '!X4)),MID('Other analyst '!X4,SEARCH("]",'Other analyst '!X4)+1,200),'Other analyst '!X4))-1,LEN('Other analyst '!X4)))),"")</f>
        <v>Jeremiyah Love</v>
      </c>
      <c r="DV4">
        <f>IF(DU4="",0,IF(OR(ISNUMBER(SEARCH(DU4,C4)),ISNUMBER(SEARCH(C4,DU4))),1,0))</f>
        <v>1</v>
      </c>
      <c r="DW4" cm="1">
        <f t="array" ref="DW4">IF(DU4="",0,IF(SUMPRODUCT((ISNUMBER(SEARCH(DU4,$C$2:$C$33))+ISNUMBER(SEARCH($C$2:$C$33,DU4))))&gt;0,1,0))</f>
        <v>1</v>
      </c>
      <c r="DX4">
        <v>0</v>
      </c>
      <c r="DY4" t="str">
        <f>IFERROR(TRIM(LEFT(IF(ISNUMBER(SEARCH("]",'Other analyst '!Y4)),MID('Other analyst '!Y4,SEARCH("]",'Other analyst '!Y4)+1,200),'Other analyst '!Y4),IFERROR(SEARCH(" (",IF(ISNUMBER(SEARCH("]",'Other analyst '!Y4)),MID('Other analyst '!Y4,SEARCH("]",'Other analyst '!Y4)+1,200),'Other analyst '!Y4))-1,LEN('Other analyst '!Y4)))),"")</f>
        <v>Jeremiyah Love</v>
      </c>
      <c r="DZ4">
        <f>IF(DY4="",0,IF(OR(ISNUMBER(SEARCH(DY4,C4)),ISNUMBER(SEARCH(C4,DY4))),1,0))</f>
        <v>1</v>
      </c>
      <c r="EA4" cm="1">
        <f t="array" ref="EA4">IF(DY4="",0,IF(SUMPRODUCT((ISNUMBER(SEARCH(DY4,$C$2:$C$33))+ISNUMBER(SEARCH($C$2:$C$33,DY4))))&gt;0,1,0))</f>
        <v>1</v>
      </c>
      <c r="EB4">
        <v>0</v>
      </c>
      <c r="EC4" t="str">
        <f>IFERROR(TRIM(LEFT(IF(ISNUMBER(SEARCH("]",'Other analyst '!Z4)),MID('Other analyst '!Z4,SEARCH("]",'Other analyst '!Z4)+1,200),'Other analyst '!Z4),IFERROR(SEARCH(" (",IF(ISNUMBER(SEARCH("]",'Other analyst '!Z4)),MID('Other analyst '!Z4,SEARCH("]",'Other analyst '!Z4)+1,200),'Other analyst '!Z4))-1,LEN('Other analyst '!Z4)))),"")</f>
        <v>David Bailey</v>
      </c>
      <c r="ED4">
        <f>IF(EC4="",0,IF(OR(ISNUMBER(SEARCH(EC4,C4)),ISNUMBER(SEARCH(C4,EC4))),1,0))</f>
        <v>0</v>
      </c>
      <c r="EE4" cm="1">
        <f t="array" ref="EE4">IF(EC4="",0,IF(SUMPRODUCT((ISNUMBER(SEARCH(EC4,$C$2:$C$33))+ISNUMBER(SEARCH($C$2:$C$33,EC4))))&gt;0,1,0))</f>
        <v>1</v>
      </c>
      <c r="EF4">
        <v>0</v>
      </c>
      <c r="EG4" t="str">
        <f>IFERROR(TRIM(LEFT(IF(ISNUMBER(SEARCH("]",'Other analyst '!AA4)),MID('Other analyst '!AA4,SEARCH("]",'Other analyst '!AA4)+1,200),'Other analyst '!AA4),IFERROR(SEARCH(" (",IF(ISNUMBER(SEARCH("]",'Other analyst '!AA4)),MID('Other analyst '!AA4,SEARCH("]",'Other analyst '!AA4)+1,200),'Other analyst '!AA4))-1,LEN('Other analyst '!AA4)))),"")</f>
        <v>Jeremiyah Love</v>
      </c>
      <c r="EH4">
        <f>IF(EG4="",0,IF(OR(ISNUMBER(SEARCH(EG4,C4)),ISNUMBER(SEARCH(C4,EG4))),1,0))</f>
        <v>1</v>
      </c>
      <c r="EI4" cm="1">
        <f t="array" ref="EI4">IF(EG4="",0,IF(SUMPRODUCT((ISNUMBER(SEARCH(EG4,$C$2:$C$33))+ISNUMBER(SEARCH($C$2:$C$33,EG4))))&gt;0,1,0))</f>
        <v>1</v>
      </c>
      <c r="EJ4">
        <v>0</v>
      </c>
      <c r="EK4">
        <f>K4+L4+M4+N4+O4+P4+AF4+AI4+AL4+AP4+AT4+AX4+BB4+BF4+BJ4+BN4+BR4+BV4+CD4+CH4+CL4+CP4+CT4+DV4+DZ4+ED4+EH4+DN4+DR4+CX4+DB4+DF4+DJ4</f>
        <v>13</v>
      </c>
    </row>
    <row r="5" spans="1:141">
      <c r="A5" s="30">
        <v>4</v>
      </c>
      <c r="B5" s="30" t="str">
        <f>'Actual nfl first round'!C5</f>
        <v>Titans</v>
      </c>
      <c r="C5" s="31" t="str" cm="1">
        <f t="array" ref="C5">_xlfn.LET(_xlpm.actual, 'Actual nfl first round'!D5,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Carnell Tate</v>
      </c>
      <c r="D5" s="32" t="str">
        <f>'Colin''s Mock'!D5</f>
        <v>Jeremiyah Love</v>
      </c>
      <c r="E5" s="32" t="str">
        <f>_xlfn.LET(_xlpm.raw, 'Other analyst '!C5, _xlpm.s, IF(LEFT(_xlpm.raw,1)="[", MID(_xlpm.raw, FIND("] ",_xlpm.raw)+2, 999), _xlpm.raw), IFERROR(TRIM(LEFT(_xlpm.s, FIND(" (",_xlpm.s)-1)), _xlpm.raw))</f>
        <v>Sonny Styles</v>
      </c>
      <c r="F5" s="32" t="str">
        <f>_xlfn.LET(_xlpm.raw, 'Other analyst '!D5, _xlpm.s, IF(LEFT(_xlpm.raw,1)="[", MID(_xlpm.raw, FIND("] ",_xlpm.raw)+2, 999), _xlpm.raw), IFERROR(TRIM(LEFT(_xlpm.s, FIND(" (",_xlpm.s)-1)), _xlpm.raw))</f>
        <v>Jeremiyah Love</v>
      </c>
      <c r="G5" s="32" t="str">
        <f>_xlfn.LET(_xlpm.raw, 'Other analyst '!E5, _xlpm.s, IF(LEFT(_xlpm.raw,1)="[", MID(_xlpm.raw, FIND("] ",_xlpm.raw)+2, 999), _xlpm.raw), IFERROR(TRIM(LEFT(_xlpm.s, FIND(" (",_xlpm.s)-1)), _xlpm.raw))</f>
        <v>Sonny Styles</v>
      </c>
      <c r="H5" s="32" t="str">
        <f>_xlfn.LET(_xlpm.raw, 'Other analyst '!F5, _xlpm.s, IF(LEFT(_xlpm.raw,1)="[", MID(_xlpm.raw, FIND("] ",_xlpm.raw)+2, 999), _xlpm.raw), IFERROR(TRIM(LEFT(_xlpm.s, FIND(" (",_xlpm.s)-1)), _xlpm.raw))</f>
        <v>Jeremiyah Love</v>
      </c>
      <c r="I5" s="32" t="str">
        <f>_xlfn.LET(_xlpm.raw, 'Other analyst '!G5, _xlpm.s, IF(LEFT(_xlpm.raw,1)="[", MID(_xlpm.raw, FIND("] ",_xlpm.raw)+2, 999), _xlpm.raw), IFERROR(TRIM(LEFT(_xlpm.s, FIND(" (",_xlpm.s)-1)), _xlpm.raw))</f>
        <v>David Bailey</v>
      </c>
      <c r="K5" s="1">
        <f t="shared" si="0"/>
        <v>0</v>
      </c>
      <c r="L5" s="1">
        <f t="shared" si="1"/>
        <v>0</v>
      </c>
      <c r="M5" s="1">
        <f t="shared" si="2"/>
        <v>0</v>
      </c>
      <c r="N5" s="1">
        <f t="shared" si="3"/>
        <v>0</v>
      </c>
      <c r="O5" s="1">
        <f t="shared" si="4"/>
        <v>0</v>
      </c>
      <c r="P5" s="1">
        <f t="shared" si="5"/>
        <v>0</v>
      </c>
      <c r="Q5" s="1" cm="1">
        <f t="array" ref="Q5">IF(D5="", 0, IF(SUMPRODUCT(--(ISNUMBER(SEARCH(D5, $C$2:$C$33)) + ISNUMBER(SEARCH($C$2:$C$33, D5))))&gt;0, 1, 0))</f>
        <v>1</v>
      </c>
      <c r="R5" s="1" cm="1">
        <f t="array" ref="R5">IF(E5="", 0, IF(SUMPRODUCT(--(ISNUMBER(SEARCH(E5, $C$2:$C$33)) + ISNUMBER(SEARCH($C$2:$C$33, E5))))&gt;0, 1, 0))</f>
        <v>1</v>
      </c>
      <c r="S5" s="1" cm="1">
        <f t="array" ref="S5">IF(F5="", 0, IF(SUMPRODUCT(--(ISNUMBER(SEARCH(F5, $C$2:$C$33)) + ISNUMBER(SEARCH($C$2:$C$33, F5))))&gt;0, 1, 0))</f>
        <v>1</v>
      </c>
      <c r="T5" s="1" cm="1">
        <f t="array" ref="T5">IF(G5="", 0, IF(SUMPRODUCT(--(ISNUMBER(SEARCH(G5, $C$2:$C$33)) + ISNUMBER(SEARCH($C$2:$C$33, G5))))&gt;0, 1, 0))</f>
        <v>1</v>
      </c>
      <c r="U5" s="1" cm="1">
        <f t="array" ref="U5">IF(H5="", 0, IF(SUMPRODUCT(--(ISNUMBER(SEARCH(H5, $C$2:$C$33)) + ISNUMBER(SEARCH($C$2:$C$33, H5))))&gt;0, 1, 0))</f>
        <v>1</v>
      </c>
      <c r="V5" s="1" cm="1">
        <f t="array" ref="V5">IF(I5="", 0, IF(SUMPRODUCT(--(ISNUMBER(SEARCH(I5, $C$2:$C$33)) + ISNUMBER(SEARCH($C$2:$C$33, I5))))&gt;0, 1, 0))</f>
        <v>1</v>
      </c>
      <c r="W5" s="1" cm="1">
        <f t="array" ref="W5">IF(D5="",0,IF(SUMPRODUCT((ISNUMBER(SEARCH(D5,$C$2:$C$33))+ISNUMBER(SEARCH($C$2:$C$33,D5)))*($B$2:$B$33=$B5))&gt;0,1,0))</f>
        <v>0</v>
      </c>
      <c r="X5" s="1" cm="1">
        <f t="array" ref="X5">IF(E5="",0,IF(SUMPRODUCT((ISNUMBER(SEARCH(E5,$C$2:$C$33))+ISNUMBER(SEARCH($C$2:$C$33,E5)))*($B$2:$B$33=$B5))&gt;0,1,0))</f>
        <v>0</v>
      </c>
      <c r="Y5" s="1" cm="1">
        <f t="array" ref="Y5">IF(F5="",0,IF(SUMPRODUCT((ISNUMBER(SEARCH(F5,$C$2:$C$33))+ISNUMBER(SEARCH($C$2:$C$33,F5)))*($B$2:$B$33=$B5))&gt;0,1,0))</f>
        <v>0</v>
      </c>
      <c r="Z5" s="1" cm="1">
        <f t="array" ref="Z5">IF(G5="",0,IF(SUMPRODUCT((ISNUMBER(SEARCH(G5,$C$2:$C$33))+ISNUMBER(SEARCH($C$2:$C$33,G5)))*($B$2:$B$33=$B5))&gt;0,1,0))</f>
        <v>0</v>
      </c>
      <c r="AA5" s="1" cm="1">
        <f t="array" ref="AA5">IF(H5="",0,IF(SUMPRODUCT((ISNUMBER(SEARCH(H5,$C$2:$C$33))+ISNUMBER(SEARCH($C$2:$C$33,H5)))*($B$2:$B$33=$B5))&gt;0,1,0))</f>
        <v>0</v>
      </c>
      <c r="AB5" s="1" cm="1">
        <f t="array" ref="AB5">IF(I5="",0,IF(SUMPRODUCT((ISNUMBER(SEARCH(I5,$C$2:$C$33))+ISNUMBER(SEARCH($C$2:$C$33,I5)))*($B$2:$B$33=$B5))&gt;0,1,0))</f>
        <v>0</v>
      </c>
      <c r="AC5" s="36" t="s">
        <v>24</v>
      </c>
      <c r="AD5" s="36" t="s">
        <v>20</v>
      </c>
      <c r="AE5" s="36" t="s">
        <v>20</v>
      </c>
      <c r="AF5">
        <f t="shared" si="6"/>
        <v>0</v>
      </c>
      <c r="AG5" cm="1">
        <f t="array" ref="AG5">IF(AC5="",0,IF(SUMPRODUCT((ISNUMBER(SEARCH(AC5,$C$2:$C$33))+ISNUMBER(SEARCH($C$2:$C$33,AC5))))&gt;0,1,0))</f>
        <v>1</v>
      </c>
      <c r="AH5" cm="1">
        <f t="array" ref="AH5">IF(AC5="",0,IF(SUMPRODUCT((ISNUMBER(SEARCH(AC5,$C$2:$C$33))+ISNUMBER(SEARCH($C$2:$C$33,AC5)))*($B$2:$B$33=$B5))&gt;0,1,0))</f>
        <v>0</v>
      </c>
      <c r="AI5">
        <f t="shared" si="7"/>
        <v>0</v>
      </c>
      <c r="AJ5" cm="1">
        <f t="array" ref="AJ5">IF(AD5="",0,IF(SUMPRODUCT((ISNUMBER(SEARCH(AD5,$C$2:$C$33))+ISNUMBER(SEARCH($C$2:$C$33,AD5))))&gt;0,1,0))</f>
        <v>1</v>
      </c>
      <c r="AK5" cm="1">
        <f t="array" ref="AK5">IF(AD5="",0,IF(SUMPRODUCT((ISNUMBER(SEARCH(AD5,$C$2:$C$33))+ISNUMBER(SEARCH($C$2:$C$33,AD5)))*($B$2:$B$33=$B5))&gt;0,1,0))</f>
        <v>0</v>
      </c>
      <c r="AL5">
        <f t="shared" si="8"/>
        <v>0</v>
      </c>
      <c r="AM5" cm="1">
        <f t="array" ref="AM5">IF(AE5="",0,IF(SUMPRODUCT((ISNUMBER(SEARCH(AE5,$C$2:$C$33))+ISNUMBER(SEARCH($C$2:$C$33,AE5))))&gt;0,1,0))</f>
        <v>1</v>
      </c>
      <c r="AN5" cm="1">
        <f t="array" ref="AN5">IF(AE5="",0,IF(SUMPRODUCT((ISNUMBER(SEARCH(AE5,$C$2:$C$33))+ISNUMBER(SEARCH($C$2:$C$33,AE5)))*($B$2:$B$33=$B5))&gt;0,1,0))</f>
        <v>0</v>
      </c>
      <c r="AO5" s="64" t="str" cm="1">
        <f t="array" ref="AO5">_xlfn.LET(_xlpm.raw,'Other analyst '!K5,_xlpm.mockNames,'Colin''s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David Bailey</v>
      </c>
      <c r="AP5">
        <f>IF(OR(AO5="",AO5=0),0,IF(OR(ISNUMBER(SEARCH(AO5,$C5)),ISNUMBER(SEARCH($C5,AO5))),1,0))</f>
        <v>0</v>
      </c>
      <c r="AQ5" cm="1">
        <f t="array" ref="AQ5">IF(OR(AO5="",AO5=0),0,IF(SUMPRODUCT(--(ISNUMBER(SEARCH(AO5,$C$2:$C$33))+ISNUMBER(SEARCH($C$2:$C$33,AO5))))&gt;0,1,0))</f>
        <v>1</v>
      </c>
      <c r="AR5" cm="1">
        <f t="array" ref="AR5">IF(OR(AO5="",AO5=0),0,IF(SUMPRODUCT((ISNUMBER(SEARCH(AO5,$C$2:$C$33))+ISNUMBER(SEARCH($C$2:$C$33,AO5)))*($B$2:$B$33=$B5))&gt;0,1,0))</f>
        <v>0</v>
      </c>
      <c r="AS5" s="64" t="str" cm="1">
        <f t="array" ref="AS5">_xlfn.LET(_xlpm.raw,'Other analyst '!L5,_xlpm.mockNames,'Colin''s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Sonny Styles</v>
      </c>
      <c r="AT5">
        <f>IF(OR(AS5="",AS5=0),0,IF(OR(ISNUMBER(SEARCH(AS5,$C5)),ISNUMBER(SEARCH($C5,AS5))),1,0))</f>
        <v>0</v>
      </c>
      <c r="AU5" cm="1">
        <f t="array" ref="AU5">IF(OR(AS5="",AS5=0),0,IF(SUMPRODUCT(--(ISNUMBER(SEARCH(AS5,$C$2:$C$33))+ISNUMBER(SEARCH($C$2:$C$33,AS5))))&gt;0,1,0))</f>
        <v>1</v>
      </c>
      <c r="AV5" cm="1">
        <f t="array" ref="AV5">IF(OR(AS5="",AS5=0),0,IF(SUMPRODUCT((ISNUMBER(SEARCH(AS5,$C$2:$C$33))+ISNUMBER(SEARCH($C$2:$C$33,AS5)))*($B$2:$B$33=$B5))&gt;0,1,0))</f>
        <v>0</v>
      </c>
      <c r="AW5" s="64" t="str" cm="1">
        <f t="array" ref="AW5">_xlfn.LET(_xlpm.raw,'Other analyst '!M5,_xlpm.mockNames,'Colin''s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Arvell Reese</v>
      </c>
      <c r="AX5">
        <f>IF(OR(AW5="",AW5=0),0,IF(OR(ISNUMBER(SEARCH(AW5,$C5)),ISNUMBER(SEARCH($C5,AW5))),1,0))</f>
        <v>0</v>
      </c>
      <c r="AY5" cm="1">
        <f t="array" ref="AY5">IF(OR(AW5="",AW5=0),0,IF(SUMPRODUCT(--(ISNUMBER(SEARCH(AW5,$C$2:$C$33))+ISNUMBER(SEARCH($C$2:$C$33,AW5))))&gt;0,1,0))</f>
        <v>1</v>
      </c>
      <c r="AZ5" cm="1">
        <f t="array" ref="AZ5">IF(OR(AW5="",AW5=0),0,IF(SUMPRODUCT((ISNUMBER(SEARCH(AW5,$C$2:$C$33))+ISNUMBER(SEARCH($C$2:$C$33,AW5)))*($B$2:$B$33=$B5))&gt;0,1,0))</f>
        <v>0</v>
      </c>
      <c r="BA5" s="64" t="str" cm="1">
        <f t="array" ref="BA5">_xlfn.LET(_xlpm.raw,'Other analyst '!N5,_xlpm.mockNames,'Colin''s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Sonny Styles</v>
      </c>
      <c r="BB5">
        <f>IF(OR(BA5="",BA5=0),0,IF(OR(ISNUMBER(SEARCH(BA5,$C5)),ISNUMBER(SEARCH($C5,BA5))),1,0))</f>
        <v>0</v>
      </c>
      <c r="BC5" cm="1">
        <f t="array" ref="BC5">IF(OR(BA5="",BA5=0),0,IF(SUMPRODUCT(--(ISNUMBER(SEARCH(BA5,$C$2:$C$33))+ISNUMBER(SEARCH($C$2:$C$33,BA5))))&gt;0,1,0))</f>
        <v>1</v>
      </c>
      <c r="BD5" cm="1">
        <f t="array" ref="BD5">IF(OR(BA5="",BA5=0),0,IF(SUMPRODUCT((ISNUMBER(SEARCH(BA5,$C$2:$C$33))+ISNUMBER(SEARCH($C$2:$C$33,BA5)))*($B$2:$B$33=$B5))&gt;0,1,0))</f>
        <v>0</v>
      </c>
      <c r="BE5" s="64" t="str" cm="1">
        <f t="array" ref="BE5">_xlfn.LET(_xlpm.raw,'Other analyst '!O5,_xlpm.mockNames,'Colin''s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Jeremiyah Love</v>
      </c>
      <c r="BF5">
        <f>IF(OR(BE5="",BE5=0),0,IF(OR(ISNUMBER(SEARCH(BE5,$C5)),ISNUMBER(SEARCH($C5,BE5))),1,0))</f>
        <v>0</v>
      </c>
      <c r="BG5" cm="1">
        <f t="array" ref="BG5">IF(OR(BE5="",BE5=0),0,IF(SUMPRODUCT(--(ISNUMBER(SEARCH(BE5,$C$2:$C$33))+ISNUMBER(SEARCH($C$2:$C$33,BE5))))&gt;0,1,0))</f>
        <v>1</v>
      </c>
      <c r="BH5" cm="1">
        <f t="array" ref="BH5">IF(OR(BE5="",BE5=0),0,IF(SUMPRODUCT((ISNUMBER(SEARCH(BE5,$C$2:$C$33))+ISNUMBER(SEARCH($C$2:$C$33,BE5)))*($B$2:$B$33=$B5))&gt;0,1,0))</f>
        <v>0</v>
      </c>
      <c r="BI5" s="64" t="str" cm="1">
        <f t="array" ref="BI5">_xlfn.LET(_xlpm.raw,'Other analyst '!P5,_xlpm.mockNames,'Colin''s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Jeremiyah Love</v>
      </c>
      <c r="BJ5">
        <f>IF(OR(BI5="",BI5=0),0,IF(OR(ISNUMBER(SEARCH(BI5,$C5)),ISNUMBER(SEARCH($C5,BI5))),1,0))</f>
        <v>0</v>
      </c>
      <c r="BK5" cm="1">
        <f t="array" ref="BK5">IF(OR(BI5="",BI5=0),0,IF(SUMPRODUCT(--(ISNUMBER(SEARCH(BI5,$C$2:$C$33))+ISNUMBER(SEARCH($C$2:$C$33,BI5))))&gt;0,1,0))</f>
        <v>1</v>
      </c>
      <c r="BL5" cm="1">
        <f t="array" ref="BL5">IF(OR(BI5="",BI5=0),0,IF(SUMPRODUCT((ISNUMBER(SEARCH(BI5,$C$2:$C$33))+ISNUMBER(SEARCH($C$2:$C$33,BI5)))*($B$2:$B$33=$B5))&gt;0,1,0))</f>
        <v>0</v>
      </c>
      <c r="BM5" s="64" t="str" cm="1">
        <f t="array" ref="BM5">_xlfn.LET(_xlpm.raw,'Other analyst '!Q5,_xlpm.mockNames,'Colin''s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Arvell Reese</v>
      </c>
      <c r="BN5">
        <f>IF(OR(BM5="",BM5=0),0,IF(OR(ISNUMBER(SEARCH(BM5,$C5)),ISNUMBER(SEARCH($C5,BM5))),1,0))</f>
        <v>0</v>
      </c>
      <c r="BO5" cm="1">
        <f t="array" ref="BO5">IF(OR(BM5="",BM5=0),0,IF(SUMPRODUCT(--(ISNUMBER(SEARCH(BM5,$C$2:$C$33))+ISNUMBER(SEARCH($C$2:$C$33,BM5))))&gt;0,1,0))</f>
        <v>1</v>
      </c>
      <c r="BP5" cm="1">
        <f t="array" ref="BP5">IF(OR(BM5="",BM5=0),0,IF(SUMPRODUCT((ISNUMBER(SEARCH(BM5,$C$2:$C$33))+ISNUMBER(SEARCH($C$2:$C$33,BM5)))*($B$2:$B$33=$B5))&gt;0,1,0))</f>
        <v>0</v>
      </c>
      <c r="BQ5" s="64" t="str" cm="1">
        <f t="array" ref="BQ5">_xlfn.LET(_xlpm.raw,'Other analyst '!R5,_xlpm.mockNames,'Colin''s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Sonny Styles</v>
      </c>
      <c r="BR5">
        <f>IF(OR(BQ5="",BQ5=0),0,IF(OR(ISNUMBER(SEARCH(BQ5,$C5)),ISNUMBER(SEARCH($C5,BQ5))),1,0))</f>
        <v>0</v>
      </c>
      <c r="BS5" cm="1">
        <f t="array" ref="BS5">IF(OR(BQ5="",BQ5=0),0,IF(SUMPRODUCT(--(ISNUMBER(SEARCH(BQ5,$C$2:$C$33))+ISNUMBER(SEARCH($C$2:$C$33,BQ5))))&gt;0,1,0))</f>
        <v>1</v>
      </c>
      <c r="BT5" cm="1">
        <f t="array" ref="BT5">IF(OR(BQ5="",BQ5=0),0,IF(SUMPRODUCT((ISNUMBER(SEARCH(BQ5,$C$2:$C$33))+ISNUMBER(SEARCH($C$2:$C$33,BQ5)))*($B$2:$B$33=$B5))&gt;0,1,0))</f>
        <v>0</v>
      </c>
      <c r="BU5" s="76" t="str">
        <f>'Colin Mock wTrade'!D5</f>
        <v>Jeremiyah Love</v>
      </c>
      <c r="BV5">
        <f>IF(BU5="",0,IF(OR(ISNUMBER(SEARCH(BU5,C5)),ISNUMBER(SEARCH(C5,BU5))),1,0))</f>
        <v>0</v>
      </c>
      <c r="BW5" cm="1">
        <f t="array" ref="BW5">IF(BU5="",0,IF(SUMPRODUCT(--(ISNUMBER(SEARCH(BU5,$C$2:$C$33))+ISNUMBER(SEARCH($C$2:$C$33,BU5))))&gt;0,1,0))</f>
        <v>1</v>
      </c>
      <c r="BX5" cm="1">
        <f t="array" ref="BX5">IF(BU5="",0,IFERROR(IF(SUMPRODUCT((ISNUMBER(SEARCH(BU5,$C$2:$C$33))+ISNUMBER(SEARCH($C$2:$C$33,BU5)))*($B$2:$B$33=VLOOKUP('Colin Mock wTrade'!C5,$CA$1:$CB$32,2,FALSE)))&gt;0,1,0),0))</f>
        <v>0</v>
      </c>
      <c r="CA5" t="s">
        <v>23</v>
      </c>
      <c r="CB5" t="s">
        <v>392</v>
      </c>
      <c r="CC5" t="str">
        <f>'Other analyst '!S5</f>
        <v>Sonny Styles</v>
      </c>
      <c r="CD5">
        <f t="shared" si="9"/>
        <v>0</v>
      </c>
      <c r="CE5" cm="1">
        <f t="array" ref="CE5">IF(CC5="",0,IF(SUMPRODUCT(--(ISNUMBER(SEARCH(CC5,$C$2:$C$33))+ISNUMBER(SEARCH($C$2:$C$33,CC5))))&gt;0,1,0))</f>
        <v>1</v>
      </c>
      <c r="CF5" cm="1">
        <f t="array" ref="CF5">IF(CC5="",0,IF(SUMPRODUCT((ISNUMBER(SEARCH(CC5,$C$2:$C$33))+ISNUMBER(SEARCH($C$2:$C$33,CC5)))*($B$2:$B$33=$B5))&gt;0,1,0))</f>
        <v>0</v>
      </c>
      <c r="CG5" t="str">
        <f>'Other analyst '!T5</f>
        <v>Jeremiyah Love</v>
      </c>
      <c r="CH5">
        <f t="shared" si="10"/>
        <v>0</v>
      </c>
      <c r="CI5" cm="1">
        <f t="array" ref="CI5">IF(CG5="",0,IF(SUMPRODUCT(--(ISNUMBER(SEARCH(CG5,$C$2:$C$33))+ISNUMBER(SEARCH($C$2:$C$33,CG5))))&gt;0,1,0))</f>
        <v>1</v>
      </c>
      <c r="CJ5" cm="1">
        <f t="array" ref="CJ5">IF(CG5="",0,IF(SUMPRODUCT((ISNUMBER(SEARCH(CG5,$C$2:$C$33))+ISNUMBER(SEARCH($C$2:$C$33,CG5)))*($B$2:$B$33=$B5))&gt;0,1,0))</f>
        <v>0</v>
      </c>
      <c r="CK5" t="str">
        <f>'Other analyst '!U5</f>
        <v>David Bailey</v>
      </c>
      <c r="CL5">
        <f t="shared" si="11"/>
        <v>0</v>
      </c>
      <c r="CM5" cm="1">
        <f t="array" ref="CM5">IF(CK5="",0,IF(SUMPRODUCT(--(ISNUMBER(SEARCH(CK5,$C$2:$C$33))+ISNUMBER(SEARCH($C$2:$C$33,CK5))))&gt;0,1,0))</f>
        <v>1</v>
      </c>
      <c r="CN5" cm="1">
        <f t="array" ref="CN5">IF(CK5="",0,IF(SUMPRODUCT((ISNUMBER(SEARCH(CK5,$C$2:$C$33))+ISNUMBER(SEARCH($C$2:$C$33,CK5)))*($B$2:$B$33=$B5))&gt;0,1,0))</f>
        <v>0</v>
      </c>
      <c r="CO5" t="str">
        <f>'Other analyst '!V5</f>
        <v>Jeremiah Smith</v>
      </c>
      <c r="CP5">
        <f t="shared" si="12"/>
        <v>0</v>
      </c>
      <c r="CQ5" cm="1">
        <f t="array" ref="CQ5">IF(CO5="",0,IF(SUMPRODUCT(--(ISNUMBER(SEARCH(CO5,$C$2:$C$33))+ISNUMBER(SEARCH($C$2:$C$33,CO5))))&gt;0,1,0))</f>
        <v>0</v>
      </c>
      <c r="CR5" cm="1">
        <f t="array" ref="CR5">IF(CO5="",0,IF(SUMPRODUCT((ISNUMBER(SEARCH(CO5,$C$2:$C$33))+ISNUMBER(SEARCH($C$2:$C$33,CO5)))*($B$2:$B$33=$B5))&gt;0,1,0))</f>
        <v>0</v>
      </c>
      <c r="CS5" s="36" t="str">
        <f>'Other analyst '!W5</f>
        <v>Arvell Reese</v>
      </c>
      <c r="CT5">
        <f t="shared" si="13"/>
        <v>0</v>
      </c>
      <c r="CU5" cm="1">
        <f t="array" ref="CU5">IF(CS5="",0,IF(SUMPRODUCT(--(ISNUMBER(SEARCH(CS5,$C$2:$C$33))+ISNUMBER(SEARCH($C$2:$C$33,CS5))))&gt;0,1,0))</f>
        <v>1</v>
      </c>
      <c r="CV5" cm="1">
        <f t="array" ref="CV5">IF(CS5="",0,IFERROR(IF(SUMPRODUCT((ISNUMBER(SEARCH(CS5,$C$2:$C$33))+ISNUMBER(SEARCH($C$2:$C$33,CS5)))*(ISNUMBER(SEARCH($B$2:$B$33,'Other analyst '!B5))+ISNUMBER(SEARCH('Other analyst '!B5,$B$2:$B$33))))&gt;0,1,0),0))</f>
        <v>0</v>
      </c>
      <c r="CW5" s="36" t="str">
        <f>'Other analyst '!AD5</f>
        <v>Sonny Styles</v>
      </c>
      <c r="CX5">
        <f t="shared" si="14"/>
        <v>0</v>
      </c>
      <c r="CY5" cm="1">
        <f t="array" ref="CY5">IF(CW5="",0,IF(SUMPRODUCT(--(ISNUMBER(SEARCH(CW5,$C$2:$C$33))+ISNUMBER(SEARCH($C$2:$C$33,CW5))))&gt;0,1,0))</f>
        <v>1</v>
      </c>
      <c r="CZ5" cm="1">
        <f t="array" ref="CZ5">IF(CW5="",0,IF(SUMPRODUCT((ISNUMBER(SEARCH(CW5,$C$2:$C$33))+ISNUMBER(SEARCH($C$2:$C$33,CW5)))*($B$2:$B$33=$B5))&gt;0,1,0))</f>
        <v>0</v>
      </c>
      <c r="DA5" s="36" t="str">
        <f>'Other analyst '!AE5</f>
        <v>David Bailey</v>
      </c>
      <c r="DB5">
        <f t="shared" si="15"/>
        <v>0</v>
      </c>
      <c r="DC5" cm="1">
        <f t="array" ref="DC5">IF(DA5="",0,IF(SUMPRODUCT(--(ISNUMBER(SEARCH(DA5,$C$2:$C$33))+ISNUMBER(SEARCH($C$2:$C$33,DA5))))&gt;0,1,0))</f>
        <v>1</v>
      </c>
      <c r="DD5" cm="1">
        <f t="array" ref="DD5">IF(DA5="",0,IF(SUMPRODUCT((ISNUMBER(SEARCH(DA5,$C$2:$C$33))+ISNUMBER(SEARCH($C$2:$C$33,DA5)))*($B$2:$B$33=$B5))&gt;0,1,0))</f>
        <v>0</v>
      </c>
      <c r="DE5" s="36" t="str">
        <f>'Other analyst '!AF5</f>
        <v>Arvell Reese</v>
      </c>
      <c r="DF5">
        <f t="shared" si="16"/>
        <v>0</v>
      </c>
      <c r="DG5" cm="1">
        <f t="array" ref="DG5">IF(DE5="",0,IF(SUMPRODUCT(--(ISNUMBER(SEARCH(DE5,$C$2:$C$33))+ISNUMBER(SEARCH($C$2:$C$33,DE5))))&gt;0,1,0))</f>
        <v>1</v>
      </c>
      <c r="DH5" cm="1">
        <f t="array" ref="DH5">IF(DE5="",0,IF(SUMPRODUCT((ISNUMBER(SEARCH(DE5,$C$2:$C$33))+ISNUMBER(SEARCH($C$2:$C$33,DE5)))*($B$2:$B$33=$B5))&gt;0,1,0))</f>
        <v>0</v>
      </c>
      <c r="DI5" s="36" t="str">
        <f>'Other analyst '!AG5</f>
        <v>Sonny Styles</v>
      </c>
      <c r="DJ5">
        <f t="shared" si="17"/>
        <v>0</v>
      </c>
      <c r="DK5" cm="1">
        <f t="array" ref="DK5">IF(DI5="",0,IF(SUMPRODUCT(--(ISNUMBER(SEARCH(DI5,$C$2:$C$33))+ISNUMBER(SEARCH($C$2:$C$33,DI5))))&gt;0,1,0))</f>
        <v>1</v>
      </c>
      <c r="DL5" cm="1">
        <f t="array" ref="DL5">IF(DI5="",0,IF(SUMPRODUCT((ISNUMBER(SEARCH(DI5,$C$2:$C$33))+ISNUMBER(SEARCH($C$2:$C$33,DI5)))*($B$2:$B$33=$B5))&gt;0,1,0))</f>
        <v>0</v>
      </c>
      <c r="DM5" s="36" t="str">
        <f>'Other analyst '!AB5</f>
        <v>Sonny Styles</v>
      </c>
      <c r="DN5">
        <f t="shared" si="18"/>
        <v>0</v>
      </c>
      <c r="DO5" cm="1">
        <f t="array" ref="DO5">IF(DM5="",0,IF(SUMPRODUCT(--(ISNUMBER(SEARCH(DM5,$C$2:$C$33))+ISNUMBER(SEARCH($C$2:$C$33,DM5))))&gt;0,1,0))</f>
        <v>1</v>
      </c>
      <c r="DP5" cm="1">
        <f t="array" ref="DP5">IF(DM5="",0,IFERROR(IF(SUMPRODUCT((ISNUMBER(SEARCH(DM5,$C$2:$C$33))+ISNUMBER(SEARCH($C$2:$C$33,DM5)))*(ISNUMBER(SEARCH($B$2:$B$33,'Other analyst '!B5))+ISNUMBER(SEARCH('Other analyst '!B5,$B$2:$B$33))))&gt;0,1,0),0))</f>
        <v>0</v>
      </c>
      <c r="DQ5" s="36" t="str">
        <f>'Other analyst '!AC5</f>
        <v>Jeremiyah Love</v>
      </c>
      <c r="DR5">
        <f t="shared" si="19"/>
        <v>0</v>
      </c>
      <c r="DS5" cm="1">
        <f t="array" ref="DS5">IF(DQ5="",0,IF(SUMPRODUCT(--(ISNUMBER(SEARCH(DQ5,$C$2:$C$33))+ISNUMBER(SEARCH($C$2:$C$33,DQ5))))&gt;0,1,0))</f>
        <v>1</v>
      </c>
      <c r="DT5" cm="1">
        <f t="array" ref="DT5">IF(DQ5="",0,IFERROR(IF(SUMPRODUCT((ISNUMBER(SEARCH(DQ5,$C$2:$C$33))+ISNUMBER(SEARCH($C$2:$C$33,DQ5)))*(ISNUMBER(SEARCH($B$2:$B$33,'Other analyst '!B5))+ISNUMBER(SEARCH('Other analyst '!B5,$B$2:$B$33))))&gt;0,1,0),0))</f>
        <v>0</v>
      </c>
      <c r="DU5" t="str">
        <f>IFERROR(TRIM(LEFT(IF(ISNUMBER(SEARCH("]",'Other analyst '!X5)),MID('Other analyst '!X5,SEARCH("]",'Other analyst '!X5)+1,200),'Other analyst '!X5),IFERROR(SEARCH(" (",IF(ISNUMBER(SEARCH("]",'Other analyst '!X5)),MID('Other analyst '!X5,SEARCH("]",'Other analyst '!X5)+1,200),'Other analyst '!X5))-1,LEN('Other analyst '!X5)))),"")</f>
        <v>Arvell Reese</v>
      </c>
      <c r="DV5">
        <f>IF(DU5="",0,IF(OR(ISNUMBER(SEARCH(DU5,C5)),ISNUMBER(SEARCH(C5,DU5))),1,0))</f>
        <v>0</v>
      </c>
      <c r="DW5" cm="1">
        <f t="array" ref="DW5">IF(DU5="",0,IF(SUMPRODUCT((ISNUMBER(SEARCH(DU5,$C$2:$C$33))+ISNUMBER(SEARCH($C$2:$C$33,DU5))))&gt;0,1,0))</f>
        <v>1</v>
      </c>
      <c r="DX5">
        <v>0</v>
      </c>
      <c r="DY5" t="str">
        <f>IFERROR(TRIM(LEFT(IF(ISNUMBER(SEARCH("]",'Other analyst '!Y5)),MID('Other analyst '!Y5,SEARCH("]",'Other analyst '!Y5)+1,200),'Other analyst '!Y5),IFERROR(SEARCH(" (",IF(ISNUMBER(SEARCH("]",'Other analyst '!Y5)),MID('Other analyst '!Y5,SEARCH("]",'Other analyst '!Y5)+1,200),'Other analyst '!Y5))-1,LEN('Other analyst '!Y5)))),"")</f>
        <v>Sonny Styles</v>
      </c>
      <c r="DZ5">
        <f>IF(DY5="",0,IF(OR(ISNUMBER(SEARCH(DY5,C5)),ISNUMBER(SEARCH(C5,DY5))),1,0))</f>
        <v>0</v>
      </c>
      <c r="EA5" cm="1">
        <f t="array" ref="EA5">IF(DY5="",0,IF(SUMPRODUCT((ISNUMBER(SEARCH(DY5,$C$2:$C$33))+ISNUMBER(SEARCH($C$2:$C$33,DY5))))&gt;0,1,0))</f>
        <v>1</v>
      </c>
      <c r="EB5">
        <v>0</v>
      </c>
      <c r="EC5" t="str">
        <f>IFERROR(TRIM(LEFT(IF(ISNUMBER(SEARCH("]",'Other analyst '!Z5)),MID('Other analyst '!Z5,SEARCH("]",'Other analyst '!Z5)+1,200),'Other analyst '!Z5),IFERROR(SEARCH(" (",IF(ISNUMBER(SEARCH("]",'Other analyst '!Z5)),MID('Other analyst '!Z5,SEARCH("]",'Other analyst '!Z5)+1,200),'Other analyst '!Z5))-1,LEN('Other analyst '!Z5)))),"")</f>
        <v>Jeremiyah Love</v>
      </c>
      <c r="ED5">
        <f>IF(EC5="",0,IF(OR(ISNUMBER(SEARCH(EC5,C5)),ISNUMBER(SEARCH(C5,EC5))),1,0))</f>
        <v>0</v>
      </c>
      <c r="EE5" cm="1">
        <f t="array" ref="EE5">IF(EC5="",0,IF(SUMPRODUCT((ISNUMBER(SEARCH(EC5,$C$2:$C$33))+ISNUMBER(SEARCH($C$2:$C$33,EC5))))&gt;0,1,0))</f>
        <v>1</v>
      </c>
      <c r="EF5">
        <v>0</v>
      </c>
      <c r="EG5" t="str">
        <f>IFERROR(TRIM(LEFT(IF(ISNUMBER(SEARCH("]",'Other analyst '!AA5)),MID('Other analyst '!AA5,SEARCH("]",'Other analyst '!AA5)+1,200),'Other analyst '!AA5),IFERROR(SEARCH(" (",IF(ISNUMBER(SEARCH("]",'Other analyst '!AA5)),MID('Other analyst '!AA5,SEARCH("]",'Other analyst '!AA5)+1,200),'Other analyst '!AA5))-1,LEN('Other analyst '!AA5)))),"")</f>
        <v>Arvell Reese</v>
      </c>
      <c r="EH5">
        <f>IF(EG5="",0,IF(OR(ISNUMBER(SEARCH(EG5,C5)),ISNUMBER(SEARCH(C5,EG5))),1,0))</f>
        <v>0</v>
      </c>
      <c r="EI5" cm="1">
        <f t="array" ref="EI5">IF(EG5="",0,IF(SUMPRODUCT((ISNUMBER(SEARCH(EG5,$C$2:$C$33))+ISNUMBER(SEARCH($C$2:$C$33,EG5))))&gt;0,1,0))</f>
        <v>1</v>
      </c>
      <c r="EJ5">
        <v>0</v>
      </c>
      <c r="EK5">
        <f>K5+L5+M5+N5+O5+P5+AF5+AI5+AL5+AP5+AT5+AX5+BB5+BF5+BJ5+BN5+BR5+BV5+CD5+CH5+CL5+CP5+CT5+DV5+DZ5+ED5+EH5+DN5+DR5+CX5+DB5+DF5+DJ5</f>
        <v>0</v>
      </c>
    </row>
    <row r="6" spans="1:141">
      <c r="A6" s="30">
        <v>5</v>
      </c>
      <c r="B6" s="30" t="str">
        <f>'Actual nfl first round'!C6</f>
        <v>Giants</v>
      </c>
      <c r="C6" s="31" t="str" cm="1">
        <f t="array" ref="C6">_xlfn.LET(_xlpm.actual, 'Actual nfl first round'!D6,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Arvell Reese</v>
      </c>
      <c r="D6" s="32" t="str">
        <f>'Colin''s Mock'!D6</f>
        <v>Sonny Styles</v>
      </c>
      <c r="E6" s="32" t="str">
        <f>_xlfn.LET(_xlpm.raw, 'Other analyst '!C6, _xlpm.s, IF(LEFT(_xlpm.raw,1)="[", MID(_xlpm.raw, FIND("] ",_xlpm.raw)+2, 999), _xlpm.raw), IFERROR(TRIM(LEFT(_xlpm.s, FIND(" (",_xlpm.s)-1)), _xlpm.raw))</f>
        <v>Arvell Reese</v>
      </c>
      <c r="F6" s="32" t="str">
        <f>_xlfn.LET(_xlpm.raw, 'Other analyst '!D6, _xlpm.s, IF(LEFT(_xlpm.raw,1)="[", MID(_xlpm.raw, FIND("] ",_xlpm.raw)+2, 999), _xlpm.raw), IFERROR(TRIM(LEFT(_xlpm.s, FIND(" (",_xlpm.s)-1)), _xlpm.raw))</f>
        <v>Caleb Downs</v>
      </c>
      <c r="G6" s="32" t="str">
        <f>_xlfn.LET(_xlpm.raw, 'Other analyst '!E6, _xlpm.s, IF(LEFT(_xlpm.raw,1)="[", MID(_xlpm.raw, FIND("] ",_xlpm.raw)+2, 999), _xlpm.raw), IFERROR(TRIM(LEFT(_xlpm.s, FIND(" (",_xlpm.s)-1)), _xlpm.raw))</f>
        <v>Arvell Reese</v>
      </c>
      <c r="H6" s="32" t="str">
        <f>_xlfn.LET(_xlpm.raw, 'Other analyst '!F6, _xlpm.s, IF(LEFT(_xlpm.raw,1)="[", MID(_xlpm.raw, FIND("] ",_xlpm.raw)+2, 999), _xlpm.raw), IFERROR(TRIM(LEFT(_xlpm.s, FIND(" (",_xlpm.s)-1)), _xlpm.raw))</f>
        <v>Jordyn Tyson</v>
      </c>
      <c r="I6" s="32" t="str">
        <f>_xlfn.LET(_xlpm.raw, 'Other analyst '!G6, _xlpm.s, IF(LEFT(_xlpm.raw,1)="[", MID(_xlpm.raw, FIND("] ",_xlpm.raw)+2, 999), _xlpm.raw), IFERROR(TRIM(LEFT(_xlpm.s, FIND(" (",_xlpm.s)-1)), _xlpm.raw))</f>
        <v>Sonny Styles</v>
      </c>
      <c r="K6" s="1">
        <f t="shared" si="0"/>
        <v>0</v>
      </c>
      <c r="L6" s="1">
        <f t="shared" si="1"/>
        <v>1</v>
      </c>
      <c r="M6" s="1">
        <f t="shared" si="2"/>
        <v>0</v>
      </c>
      <c r="N6" s="1">
        <f t="shared" si="3"/>
        <v>1</v>
      </c>
      <c r="O6" s="1">
        <f t="shared" si="4"/>
        <v>0</v>
      </c>
      <c r="P6" s="1">
        <f t="shared" si="5"/>
        <v>0</v>
      </c>
      <c r="Q6" s="1" cm="1">
        <f t="array" ref="Q6">IF(D6="", 0, IF(SUMPRODUCT(--(ISNUMBER(SEARCH(D6, $C$2:$C$33)) + ISNUMBER(SEARCH($C$2:$C$33, D6))))&gt;0, 1, 0))</f>
        <v>1</v>
      </c>
      <c r="R6" s="1" cm="1">
        <f t="array" ref="R6">IF(E6="", 0, IF(SUMPRODUCT(--(ISNUMBER(SEARCH(E6, $C$2:$C$33)) + ISNUMBER(SEARCH($C$2:$C$33, E6))))&gt;0, 1, 0))</f>
        <v>1</v>
      </c>
      <c r="S6" s="1" cm="1">
        <f t="array" ref="S6">IF(F6="", 0, IF(SUMPRODUCT(--(ISNUMBER(SEARCH(F6, $C$2:$C$33)) + ISNUMBER(SEARCH($C$2:$C$33, F6))))&gt;0, 1, 0))</f>
        <v>1</v>
      </c>
      <c r="T6" s="1" cm="1">
        <f t="array" ref="T6">IF(G6="", 0, IF(SUMPRODUCT(--(ISNUMBER(SEARCH(G6, $C$2:$C$33)) + ISNUMBER(SEARCH($C$2:$C$33, G6))))&gt;0, 1, 0))</f>
        <v>1</v>
      </c>
      <c r="U6" s="1" cm="1">
        <f t="array" ref="U6">IF(H6="", 0, IF(SUMPRODUCT(--(ISNUMBER(SEARCH(H6, $C$2:$C$33)) + ISNUMBER(SEARCH($C$2:$C$33, H6))))&gt;0, 1, 0))</f>
        <v>1</v>
      </c>
      <c r="V6" s="1" cm="1">
        <f t="array" ref="V6">IF(I6="", 0, IF(SUMPRODUCT(--(ISNUMBER(SEARCH(I6, $C$2:$C$33)) + ISNUMBER(SEARCH($C$2:$C$33, I6))))&gt;0, 1, 0))</f>
        <v>1</v>
      </c>
      <c r="W6" s="1" cm="1">
        <f t="array" ref="W6">IF(D6="",0,IF(SUMPRODUCT((ISNUMBER(SEARCH(D6,$C$2:$C$33))+ISNUMBER(SEARCH($C$2:$C$33,D6)))*($B$2:$B$33=$B6))&gt;0,1,0))</f>
        <v>0</v>
      </c>
      <c r="X6" s="1" cm="1">
        <f t="array" ref="X6">IF(E6="",0,IF(SUMPRODUCT((ISNUMBER(SEARCH(E6,$C$2:$C$33))+ISNUMBER(SEARCH($C$2:$C$33,E6)))*($B$2:$B$33=$B6))&gt;0,1,0))</f>
        <v>1</v>
      </c>
      <c r="Y6" s="1" cm="1">
        <f t="array" ref="Y6">IF(F6="",0,IF(SUMPRODUCT((ISNUMBER(SEARCH(F6,$C$2:$C$33))+ISNUMBER(SEARCH($C$2:$C$33,F6)))*($B$2:$B$33=$B6))&gt;0,1,0))</f>
        <v>0</v>
      </c>
      <c r="Z6" s="1" cm="1">
        <f t="array" ref="Z6">IF(G6="",0,IF(SUMPRODUCT((ISNUMBER(SEARCH(G6,$C$2:$C$33))+ISNUMBER(SEARCH($C$2:$C$33,G6)))*($B$2:$B$33=$B6))&gt;0,1,0))</f>
        <v>1</v>
      </c>
      <c r="AA6" s="1" cm="1">
        <f t="array" ref="AA6">IF(H6="",0,IF(SUMPRODUCT((ISNUMBER(SEARCH(H6,$C$2:$C$33))+ISNUMBER(SEARCH($C$2:$C$33,H6)))*($B$2:$B$33=$B6))&gt;0,1,0))</f>
        <v>0</v>
      </c>
      <c r="AB6" s="1" cm="1">
        <f t="array" ref="AB6">IF(I6="",0,IF(SUMPRODUCT((ISNUMBER(SEARCH(I6,$C$2:$C$33))+ISNUMBER(SEARCH($C$2:$C$33,I6)))*($B$2:$B$33=$B6))&gt;0,1,0))</f>
        <v>0</v>
      </c>
      <c r="AC6" s="36" t="s">
        <v>20</v>
      </c>
      <c r="AD6" s="36" t="s">
        <v>38</v>
      </c>
      <c r="AE6" s="36" t="s">
        <v>24</v>
      </c>
      <c r="AF6">
        <f t="shared" si="6"/>
        <v>0</v>
      </c>
      <c r="AG6" cm="1">
        <f t="array" ref="AG6">IF(AC6="",0,IF(SUMPRODUCT((ISNUMBER(SEARCH(AC6,$C$2:$C$33))+ISNUMBER(SEARCH($C$2:$C$33,AC6))))&gt;0,1,0))</f>
        <v>1</v>
      </c>
      <c r="AH6" cm="1">
        <f t="array" ref="AH6">IF(AC6="",0,IF(SUMPRODUCT((ISNUMBER(SEARCH(AC6,$C$2:$C$33))+ISNUMBER(SEARCH($C$2:$C$33,AC6)))*($B$2:$B$33=$B6))&gt;0,1,0))</f>
        <v>0</v>
      </c>
      <c r="AI6">
        <f t="shared" si="7"/>
        <v>0</v>
      </c>
      <c r="AJ6" cm="1">
        <f t="array" ref="AJ6">IF(AD6="",0,IF(SUMPRODUCT((ISNUMBER(SEARCH(AD6,$C$2:$C$33))+ISNUMBER(SEARCH($C$2:$C$33,AD6))))&gt;0,1,0))</f>
        <v>1</v>
      </c>
      <c r="AK6" cm="1">
        <f t="array" ref="AK6">IF(AD6="",0,IF(SUMPRODUCT((ISNUMBER(SEARCH(AD6,$C$2:$C$33))+ISNUMBER(SEARCH($C$2:$C$33,AD6)))*($B$2:$B$33=$B6))&gt;0,1,0))</f>
        <v>0</v>
      </c>
      <c r="AL6">
        <f t="shared" si="8"/>
        <v>0</v>
      </c>
      <c r="AM6" cm="1">
        <f t="array" ref="AM6">IF(AE6="",0,IF(SUMPRODUCT((ISNUMBER(SEARCH(AE6,$C$2:$C$33))+ISNUMBER(SEARCH($C$2:$C$33,AE6))))&gt;0,1,0))</f>
        <v>1</v>
      </c>
      <c r="AN6" cm="1">
        <f t="array" ref="AN6">IF(AE6="",0,IF(SUMPRODUCT((ISNUMBER(SEARCH(AE6,$C$2:$C$33))+ISNUMBER(SEARCH($C$2:$C$33,AE6)))*($B$2:$B$33=$B6))&gt;0,1,0))</f>
        <v>0</v>
      </c>
      <c r="AO6" s="64" t="str" cm="1">
        <f t="array" ref="AO6">_xlfn.LET(_xlpm.raw,'Other analyst '!K6,_xlpm.mockNames,'Colin''s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Jordyn Tyson</v>
      </c>
      <c r="AP6">
        <f>IF(OR(AO6="",AO6=0),0,IF(OR(ISNUMBER(SEARCH(AO6,$C6)),ISNUMBER(SEARCH($C6,AO6))),1,0))</f>
        <v>0</v>
      </c>
      <c r="AQ6" cm="1">
        <f t="array" ref="AQ6">IF(OR(AO6="",AO6=0),0,IF(SUMPRODUCT(--(ISNUMBER(SEARCH(AO6,$C$2:$C$33))+ISNUMBER(SEARCH($C$2:$C$33,AO6))))&gt;0,1,0))</f>
        <v>1</v>
      </c>
      <c r="AR6" cm="1">
        <f t="array" ref="AR6">IF(OR(AO6="",AO6=0),0,IF(SUMPRODUCT((ISNUMBER(SEARCH(AO6,$C$2:$C$33))+ISNUMBER(SEARCH($C$2:$C$33,AO6)))*($B$2:$B$33=$B6))&gt;0,1,0))</f>
        <v>0</v>
      </c>
      <c r="AS6" s="64" t="str" cm="1">
        <f t="array" ref="AS6">_xlfn.LET(_xlpm.raw,'Other analyst '!L6,_xlpm.mockNames,'Colin''s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Downs</v>
      </c>
      <c r="AT6">
        <f>IF(OR(AS6="",AS6=0),0,IF(OR(ISNUMBER(SEARCH(AS6,$C6)),ISNUMBER(SEARCH($C6,AS6))),1,0))</f>
        <v>0</v>
      </c>
      <c r="AU6" cm="1">
        <f t="array" ref="AU6">IF(OR(AS6="",AS6=0),0,IF(SUMPRODUCT(--(ISNUMBER(SEARCH(AS6,$C$2:$C$33))+ISNUMBER(SEARCH($C$2:$C$33,AS6))))&gt;0,1,0))</f>
        <v>1</v>
      </c>
      <c r="AV6" cm="1">
        <f t="array" ref="AV6">IF(OR(AS6="",AS6=0),0,IF(SUMPRODUCT((ISNUMBER(SEARCH(AS6,$C$2:$C$33))+ISNUMBER(SEARCH($C$2:$C$33,AS6)))*($B$2:$B$33=$B6))&gt;0,1,0))</f>
        <v>0</v>
      </c>
      <c r="AW6" s="64" t="str" cm="1">
        <f t="array" ref="AW6">_xlfn.LET(_xlpm.raw,'Other analyst '!M6,_xlpm.mockNames,'Colin''s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Downs</v>
      </c>
      <c r="AX6">
        <f>IF(OR(AW6="",AW6=0),0,IF(OR(ISNUMBER(SEARCH(AW6,$C6)),ISNUMBER(SEARCH($C6,AW6))),1,0))</f>
        <v>0</v>
      </c>
      <c r="AY6" cm="1">
        <f t="array" ref="AY6">IF(OR(AW6="",AW6=0),0,IF(SUMPRODUCT(--(ISNUMBER(SEARCH(AW6,$C$2:$C$33))+ISNUMBER(SEARCH($C$2:$C$33,AW6))))&gt;0,1,0))</f>
        <v>1</v>
      </c>
      <c r="AZ6" cm="1">
        <f t="array" ref="AZ6">IF(OR(AW6="",AW6=0),0,IF(SUMPRODUCT((ISNUMBER(SEARCH(AW6,$C$2:$C$33))+ISNUMBER(SEARCH($C$2:$C$33,AW6)))*($B$2:$B$33=$B6))&gt;0,1,0))</f>
        <v>0</v>
      </c>
      <c r="BA6" s="64" t="str" cm="1">
        <f t="array" ref="BA6">_xlfn.LET(_xlpm.raw,'Other analyst '!N6,_xlpm.mockNames,'Colin''s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Downs</v>
      </c>
      <c r="BB6">
        <f>IF(OR(BA6="",BA6=0),0,IF(OR(ISNUMBER(SEARCH(BA6,$C6)),ISNUMBER(SEARCH($C6,BA6))),1,0))</f>
        <v>0</v>
      </c>
      <c r="BC6" cm="1">
        <f t="array" ref="BC6">IF(OR(BA6="",BA6=0),0,IF(SUMPRODUCT(--(ISNUMBER(SEARCH(BA6,$C$2:$C$33))+ISNUMBER(SEARCH($C$2:$C$33,BA6))))&gt;0,1,0))</f>
        <v>1</v>
      </c>
      <c r="BD6" cm="1">
        <f t="array" ref="BD6">IF(OR(BA6="",BA6=0),0,IF(SUMPRODUCT((ISNUMBER(SEARCH(BA6,$C$2:$C$33))+ISNUMBER(SEARCH($C$2:$C$33,BA6)))*($B$2:$B$33=$B6))&gt;0,1,0))</f>
        <v>0</v>
      </c>
      <c r="BE6" s="64" t="str" cm="1">
        <f t="array" ref="BE6">_xlfn.LET(_xlpm.raw,'Other analyst '!O6,_xlpm.mockNames,'Colin''s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Jordyn Tyson</v>
      </c>
      <c r="BF6">
        <f>IF(OR(BE6="",BE6=0),0,IF(OR(ISNUMBER(SEARCH(BE6,$C6)),ISNUMBER(SEARCH($C6,BE6))),1,0))</f>
        <v>0</v>
      </c>
      <c r="BG6" cm="1">
        <f t="array" ref="BG6">IF(OR(BE6="",BE6=0),0,IF(SUMPRODUCT(--(ISNUMBER(SEARCH(BE6,$C$2:$C$33))+ISNUMBER(SEARCH($C$2:$C$33,BE6))))&gt;0,1,0))</f>
        <v>1</v>
      </c>
      <c r="BH6" cm="1">
        <f t="array" ref="BH6">IF(OR(BE6="",BE6=0),0,IF(SUMPRODUCT((ISNUMBER(SEARCH(BE6,$C$2:$C$33))+ISNUMBER(SEARCH($C$2:$C$33,BE6)))*($B$2:$B$33=$B6))&gt;0,1,0))</f>
        <v>0</v>
      </c>
      <c r="BI6" s="64" t="str" cm="1">
        <f t="array" ref="BI6">_xlfn.LET(_xlpm.raw,'Other analyst '!P6,_xlpm.mockNames,'Colin''s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Sonny Styles</v>
      </c>
      <c r="BJ6">
        <f>IF(OR(BI6="",BI6=0),0,IF(OR(ISNUMBER(SEARCH(BI6,$C6)),ISNUMBER(SEARCH($C6,BI6))),1,0))</f>
        <v>0</v>
      </c>
      <c r="BK6" cm="1">
        <f t="array" ref="BK6">IF(OR(BI6="",BI6=0),0,IF(SUMPRODUCT(--(ISNUMBER(SEARCH(BI6,$C$2:$C$33))+ISNUMBER(SEARCH($C$2:$C$33,BI6))))&gt;0,1,0))</f>
        <v>1</v>
      </c>
      <c r="BL6" cm="1">
        <f t="array" ref="BL6">IF(OR(BI6="",BI6=0),0,IF(SUMPRODUCT((ISNUMBER(SEARCH(BI6,$C$2:$C$33))+ISNUMBER(SEARCH($C$2:$C$33,BI6)))*($B$2:$B$33=$B6))&gt;0,1,0))</f>
        <v>0</v>
      </c>
      <c r="BM6" s="64" t="str" cm="1">
        <f t="array" ref="BM6">_xlfn.LET(_xlpm.raw,'Other analyst '!Q6,_xlpm.mockNames,'Colin''s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Sonny Styles</v>
      </c>
      <c r="BN6">
        <f>IF(OR(BM6="",BM6=0),0,IF(OR(ISNUMBER(SEARCH(BM6,$C6)),ISNUMBER(SEARCH($C6,BM6))),1,0))</f>
        <v>0</v>
      </c>
      <c r="BO6" cm="1">
        <f t="array" ref="BO6">IF(OR(BM6="",BM6=0),0,IF(SUMPRODUCT(--(ISNUMBER(SEARCH(BM6,$C$2:$C$33))+ISNUMBER(SEARCH($C$2:$C$33,BM6))))&gt;0,1,0))</f>
        <v>1</v>
      </c>
      <c r="BP6" cm="1">
        <f t="array" ref="BP6">IF(OR(BM6="",BM6=0),0,IF(SUMPRODUCT((ISNUMBER(SEARCH(BM6,$C$2:$C$33))+ISNUMBER(SEARCH($C$2:$C$33,BM6)))*($B$2:$B$33=$B6))&gt;0,1,0))</f>
        <v>0</v>
      </c>
      <c r="BQ6" s="64" t="str" cm="1">
        <f t="array" ref="BQ6">_xlfn.LET(_xlpm.raw,'Other analyst '!R6,_xlpm.mockNames,'Colin''s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Jeremiyah Love</v>
      </c>
      <c r="BR6">
        <f>IF(OR(BQ6="",BQ6=0),0,IF(OR(ISNUMBER(SEARCH(BQ6,$C6)),ISNUMBER(SEARCH($C6,BQ6))),1,0))</f>
        <v>0</v>
      </c>
      <c r="BS6" cm="1">
        <f t="array" ref="BS6">IF(OR(BQ6="",BQ6=0),0,IF(SUMPRODUCT(--(ISNUMBER(SEARCH(BQ6,$C$2:$C$33))+ISNUMBER(SEARCH($C$2:$C$33,BQ6))))&gt;0,1,0))</f>
        <v>1</v>
      </c>
      <c r="BT6" cm="1">
        <f t="array" ref="BT6">IF(OR(BQ6="",BQ6=0),0,IF(SUMPRODUCT((ISNUMBER(SEARCH(BQ6,$C$2:$C$33))+ISNUMBER(SEARCH($C$2:$C$33,BQ6)))*($B$2:$B$33=$B6))&gt;0,1,0))</f>
        <v>0</v>
      </c>
      <c r="BU6" s="76" t="str">
        <f>'Colin Mock wTrade'!D6</f>
        <v>Sonny Styles</v>
      </c>
      <c r="BV6">
        <f>IF(BU6="",0,IF(OR(ISNUMBER(SEARCH(BU6,C6)),ISNUMBER(SEARCH(C6,BU6))),1,0))</f>
        <v>0</v>
      </c>
      <c r="BW6" cm="1">
        <f t="array" ref="BW6">IF(BU6="",0,IF(SUMPRODUCT(--(ISNUMBER(SEARCH(BU6,$C$2:$C$33))+ISNUMBER(SEARCH($C$2:$C$33,BU6))))&gt;0,1,0))</f>
        <v>1</v>
      </c>
      <c r="BX6" cm="1">
        <f t="array" ref="BX6">IF(BU6="",0,IFERROR(IF(SUMPRODUCT((ISNUMBER(SEARCH(BU6,$C$2:$C$33))+ISNUMBER(SEARCH($C$2:$C$33,BU6)))*($B$2:$B$33=VLOOKUP('Colin Mock wTrade'!C6,$CA$1:$CB$32,2,FALSE)))&gt;0,1,0),0))</f>
        <v>0</v>
      </c>
      <c r="CA6" t="s">
        <v>25</v>
      </c>
      <c r="CB6" t="s">
        <v>400</v>
      </c>
      <c r="CC6" t="str">
        <f>'Other analyst '!S6</f>
        <v>Jeremiyah Love</v>
      </c>
      <c r="CD6">
        <f t="shared" si="9"/>
        <v>0</v>
      </c>
      <c r="CE6" cm="1">
        <f t="array" ref="CE6">IF(CC6="",0,IF(SUMPRODUCT(--(ISNUMBER(SEARCH(CC6,$C$2:$C$33))+ISNUMBER(SEARCH($C$2:$C$33,CC6))))&gt;0,1,0))</f>
        <v>1</v>
      </c>
      <c r="CF6" cm="1">
        <f t="array" ref="CF6">IF(CC6="",0,IF(SUMPRODUCT((ISNUMBER(SEARCH(CC6,$C$2:$C$33))+ISNUMBER(SEARCH($C$2:$C$33,CC6)))*($B$2:$B$33=$B6))&gt;0,1,0))</f>
        <v>0</v>
      </c>
      <c r="CG6" t="str">
        <f>'Other analyst '!T6</f>
        <v>Caleb Downs</v>
      </c>
      <c r="CH6">
        <f t="shared" si="10"/>
        <v>0</v>
      </c>
      <c r="CI6" cm="1">
        <f t="array" ref="CI6">IF(CG6="",0,IF(SUMPRODUCT(--(ISNUMBER(SEARCH(CG6,$C$2:$C$33))+ISNUMBER(SEARCH($C$2:$C$33,CG6))))&gt;0,1,0))</f>
        <v>1</v>
      </c>
      <c r="CJ6" cm="1">
        <f t="array" ref="CJ6">IF(CG6="",0,IF(SUMPRODUCT((ISNUMBER(SEARCH(CG6,$C$2:$C$33))+ISNUMBER(SEARCH($C$2:$C$33,CG6)))*($B$2:$B$33=$B6))&gt;0,1,0))</f>
        <v>0</v>
      </c>
      <c r="CK6" t="str">
        <f>'Other analyst '!U6</f>
        <v>Sonny Styles</v>
      </c>
      <c r="CL6">
        <f t="shared" si="11"/>
        <v>0</v>
      </c>
      <c r="CM6" cm="1">
        <f t="array" ref="CM6">IF(CK6="",0,IF(SUMPRODUCT(--(ISNUMBER(SEARCH(CK6,$C$2:$C$33))+ISNUMBER(SEARCH($C$2:$C$33,CK6))))&gt;0,1,0))</f>
        <v>1</v>
      </c>
      <c r="CN6" cm="1">
        <f t="array" ref="CN6">IF(CK6="",0,IF(SUMPRODUCT((ISNUMBER(SEARCH(CK6,$C$2:$C$33))+ISNUMBER(SEARCH($C$2:$C$33,CK6)))*($B$2:$B$33=$B6))&gt;0,1,0))</f>
        <v>0</v>
      </c>
      <c r="CO6" t="str">
        <f>'Other analyst '!V6</f>
        <v>Cam Coleman</v>
      </c>
      <c r="CP6">
        <f t="shared" si="12"/>
        <v>0</v>
      </c>
      <c r="CQ6" cm="1">
        <f t="array" ref="CQ6">IF(CO6="",0,IF(SUMPRODUCT(--(ISNUMBER(SEARCH(CO6,$C$2:$C$33))+ISNUMBER(SEARCH($C$2:$C$33,CO6))))&gt;0,1,0))</f>
        <v>0</v>
      </c>
      <c r="CR6" cm="1">
        <f t="array" ref="CR6">IF(CO6="",0,IF(SUMPRODUCT((ISNUMBER(SEARCH(CO6,$C$2:$C$33))+ISNUMBER(SEARCH($C$2:$C$33,CO6)))*($B$2:$B$33=$B6))&gt;0,1,0))</f>
        <v>0</v>
      </c>
      <c r="CS6" s="36" t="str">
        <f>'Other analyst '!W6</f>
        <v>Sonny Styles</v>
      </c>
      <c r="CT6">
        <f t="shared" si="13"/>
        <v>0</v>
      </c>
      <c r="CU6" cm="1">
        <f t="array" ref="CU6">IF(CS6="",0,IF(SUMPRODUCT(--(ISNUMBER(SEARCH(CS6,$C$2:$C$33))+ISNUMBER(SEARCH($C$2:$C$33,CS6))))&gt;0,1,0))</f>
        <v>1</v>
      </c>
      <c r="CV6" cm="1">
        <f t="array" ref="CV6">IF(CS6="",0,IFERROR(IF(SUMPRODUCT((ISNUMBER(SEARCH(CS6,$C$2:$C$33))+ISNUMBER(SEARCH($C$2:$C$33,CS6)))*(ISNUMBER(SEARCH($B$2:$B$33,'Other analyst '!B6))+ISNUMBER(SEARCH('Other analyst '!B6,$B$2:$B$33))))&gt;0,1,0),0))</f>
        <v>0</v>
      </c>
      <c r="CW6" s="36" t="str">
        <f>'Other analyst '!AD6</f>
        <v>Arvell Reese</v>
      </c>
      <c r="CX6">
        <f t="shared" si="14"/>
        <v>1</v>
      </c>
      <c r="CY6" cm="1">
        <f t="array" ref="CY6">IF(CW6="",0,IF(SUMPRODUCT(--(ISNUMBER(SEARCH(CW6,$C$2:$C$33))+ISNUMBER(SEARCH($C$2:$C$33,CW6))))&gt;0,1,0))</f>
        <v>1</v>
      </c>
      <c r="CZ6" cm="1">
        <f t="array" ref="CZ6">IF(CW6="",0,IF(SUMPRODUCT((ISNUMBER(SEARCH(CW6,$C$2:$C$33))+ISNUMBER(SEARCH($C$2:$C$33,CW6)))*($B$2:$B$33=$B6))&gt;0,1,0))</f>
        <v>1</v>
      </c>
      <c r="DA6" s="36" t="str">
        <f>'Other analyst '!AE6</f>
        <v>Jeremiyah Love</v>
      </c>
      <c r="DB6">
        <f t="shared" si="15"/>
        <v>0</v>
      </c>
      <c r="DC6" cm="1">
        <f t="array" ref="DC6">IF(DA6="",0,IF(SUMPRODUCT(--(ISNUMBER(SEARCH(DA6,$C$2:$C$33))+ISNUMBER(SEARCH($C$2:$C$33,DA6))))&gt;0,1,0))</f>
        <v>1</v>
      </c>
      <c r="DD6" cm="1">
        <f t="array" ref="DD6">IF(DA6="",0,IF(SUMPRODUCT((ISNUMBER(SEARCH(DA6,$C$2:$C$33))+ISNUMBER(SEARCH($C$2:$C$33,DA6)))*($B$2:$B$33=$B6))&gt;0,1,0))</f>
        <v>0</v>
      </c>
      <c r="DE6" s="78" t="str">
        <f>'Other analyst '!AF6</f>
        <v>Carnell Tate</v>
      </c>
      <c r="DF6">
        <f t="shared" si="16"/>
        <v>0</v>
      </c>
      <c r="DG6" cm="1">
        <f t="array" ref="DG6">IF(DE6="",0,IF(SUMPRODUCT(--(ISNUMBER(SEARCH(DE6,$C$2:$C$33))+ISNUMBER(SEARCH($C$2:$C$33,DE6))))&gt;0,1,0))</f>
        <v>1</v>
      </c>
      <c r="DH6" cm="1">
        <f t="array" ref="DH6">IF(DE6="",0,IF(SUMPRODUCT((ISNUMBER(SEARCH(DE6,$C$2:$C$33))+ISNUMBER(SEARCH($C$2:$C$33,DE6)))*($B$2:$B$33=$B6))&gt;0,1,0))</f>
        <v>0</v>
      </c>
      <c r="DI6" s="36" t="str">
        <f>'Other analyst '!AG6</f>
        <v>Caleb Downs</v>
      </c>
      <c r="DJ6">
        <f t="shared" si="17"/>
        <v>0</v>
      </c>
      <c r="DK6" cm="1">
        <f t="array" ref="DK6">IF(DI6="",0,IF(SUMPRODUCT(--(ISNUMBER(SEARCH(DI6,$C$2:$C$33))+ISNUMBER(SEARCH($C$2:$C$33,DI6))))&gt;0,1,0))</f>
        <v>1</v>
      </c>
      <c r="DL6" cm="1">
        <f t="array" ref="DL6">IF(DI6="",0,IF(SUMPRODUCT((ISNUMBER(SEARCH(DI6,$C$2:$C$33))+ISNUMBER(SEARCH($C$2:$C$33,DI6)))*($B$2:$B$33=$B6))&gt;0,1,0))</f>
        <v>0</v>
      </c>
      <c r="DM6" s="36" t="str">
        <f>'Other analyst '!AB6</f>
        <v>Jordyn Tyson</v>
      </c>
      <c r="DN6">
        <f t="shared" si="18"/>
        <v>0</v>
      </c>
      <c r="DO6" cm="1">
        <f t="array" ref="DO6">IF(DM6="",0,IF(SUMPRODUCT(--(ISNUMBER(SEARCH(DM6,$C$2:$C$33))+ISNUMBER(SEARCH($C$2:$C$33,DM6))))&gt;0,1,0))</f>
        <v>1</v>
      </c>
      <c r="DP6" cm="1">
        <f t="array" ref="DP6">IF(DM6="",0,IFERROR(IF(SUMPRODUCT((ISNUMBER(SEARCH(DM6,$C$2:$C$33))+ISNUMBER(SEARCH($C$2:$C$33,DM6)))*(ISNUMBER(SEARCH($B$2:$B$33,'Other analyst '!B6))+ISNUMBER(SEARCH('Other analyst '!B6,$B$2:$B$33))))&gt;0,1,0),0))</f>
        <v>0</v>
      </c>
      <c r="DQ6" s="36" t="str">
        <f>'Other analyst '!AC6</f>
        <v>Sonny Styles</v>
      </c>
      <c r="DR6">
        <f t="shared" si="19"/>
        <v>0</v>
      </c>
      <c r="DS6" cm="1">
        <f t="array" ref="DS6">IF(DQ6="",0,IF(SUMPRODUCT(--(ISNUMBER(SEARCH(DQ6,$C$2:$C$33))+ISNUMBER(SEARCH($C$2:$C$33,DQ6))))&gt;0,1,0))</f>
        <v>1</v>
      </c>
      <c r="DT6" cm="1">
        <f t="array" ref="DT6">IF(DQ6="",0,IFERROR(IF(SUMPRODUCT((ISNUMBER(SEARCH(DQ6,$C$2:$C$33))+ISNUMBER(SEARCH($C$2:$C$33,DQ6)))*(ISNUMBER(SEARCH($B$2:$B$33,'Other analyst '!B6))+ISNUMBER(SEARCH('Other analyst '!B6,$B$2:$B$33))))&gt;0,1,0),0))</f>
        <v>0</v>
      </c>
      <c r="DU6" t="str">
        <f>IFERROR(TRIM(LEFT(IF(ISNUMBER(SEARCH("]",'Other analyst '!X6)),MID('Other analyst '!X6,SEARCH("]",'Other analyst '!X6)+1,200),'Other analyst '!X6),IFERROR(SEARCH(" (",IF(ISNUMBER(SEARCH("]",'Other analyst '!X6)),MID('Other analyst '!X6,SEARCH("]",'Other analyst '!X6)+1,200),'Other analyst '!X6))-1,LEN('Other analyst '!X6)))),"")</f>
        <v>Jordyn Tyson</v>
      </c>
      <c r="DV6">
        <f>IF(DU6="",0,IF(OR(ISNUMBER(SEARCH(DU6,C6)),ISNUMBER(SEARCH(C6,DU6))),1,0))</f>
        <v>0</v>
      </c>
      <c r="DW6" cm="1">
        <f t="array" ref="DW6">IF(DU6="",0,IF(SUMPRODUCT((ISNUMBER(SEARCH(DU6,$C$2:$C$33))+ISNUMBER(SEARCH($C$2:$C$33,DU6))))&gt;0,1,0))</f>
        <v>1</v>
      </c>
      <c r="DX6">
        <v>0</v>
      </c>
      <c r="DY6" t="str">
        <f>IFERROR(TRIM(LEFT(IF(ISNUMBER(SEARCH("]",'Other analyst '!Y6)),MID('Other analyst '!Y6,SEARCH("]",'Other analyst '!Y6)+1,200),'Other analyst '!Y6),IFERROR(SEARCH(" (",IF(ISNUMBER(SEARCH("]",'Other analyst '!Y6)),MID('Other analyst '!Y6,SEARCH("]",'Other analyst '!Y6)+1,200),'Other analyst '!Y6))-1,LEN('Other analyst '!Y6)))),"")</f>
        <v>Jordyn Tyson</v>
      </c>
      <c r="DZ6">
        <f>IF(DY6="",0,IF(OR(ISNUMBER(SEARCH(DY6,C6)),ISNUMBER(SEARCH(C6,DY6))),1,0))</f>
        <v>0</v>
      </c>
      <c r="EA6" cm="1">
        <f t="array" ref="EA6">IF(DY6="",0,IF(SUMPRODUCT((ISNUMBER(SEARCH(DY6,$C$2:$C$33))+ISNUMBER(SEARCH($C$2:$C$33,DY6))))&gt;0,1,0))</f>
        <v>1</v>
      </c>
      <c r="EB6">
        <v>0</v>
      </c>
      <c r="EC6" t="str">
        <f>IFERROR(TRIM(LEFT(IF(ISNUMBER(SEARCH("]",'Other analyst '!Z6)),MID('Other analyst '!Z6,SEARCH("]",'Other analyst '!Z6)+1,200),'Other analyst '!Z6),IFERROR(SEARCH(" (",IF(ISNUMBER(SEARCH("]",'Other analyst '!Z6)),MID('Other analyst '!Z6,SEARCH("]",'Other analyst '!Z6)+1,200),'Other analyst '!Z6))-1,LEN('Other analyst '!Z6)))),"")</f>
        <v>Francis Mauigoa</v>
      </c>
      <c r="ED6">
        <f>IF(EC6="",0,IF(OR(ISNUMBER(SEARCH(EC6,C6)),ISNUMBER(SEARCH(C6,EC6))),1,0))</f>
        <v>0</v>
      </c>
      <c r="EE6" cm="1">
        <f t="array" ref="EE6">IF(EC6="",0,IF(SUMPRODUCT((ISNUMBER(SEARCH(EC6,$C$2:$C$33))+ISNUMBER(SEARCH($C$2:$C$33,EC6))))&gt;0,1,0))</f>
        <v>1</v>
      </c>
      <c r="EF6">
        <v>0</v>
      </c>
      <c r="EG6" t="str">
        <f>IFERROR(TRIM(LEFT(IF(ISNUMBER(SEARCH("]",'Other analyst '!AA6)),MID('Other analyst '!AA6,SEARCH("]",'Other analyst '!AA6)+1,200),'Other analyst '!AA6),IFERROR(SEARCH(" (",IF(ISNUMBER(SEARCH("]",'Other analyst '!AA6)),MID('Other analyst '!AA6,SEARCH("]",'Other analyst '!AA6)+1,200),'Other analyst '!AA6))-1,LEN('Other analyst '!AA6)))),"")</f>
        <v>Jordyn Tyson</v>
      </c>
      <c r="EH6">
        <f>IF(EG6="",0,IF(OR(ISNUMBER(SEARCH(EG6,C6)),ISNUMBER(SEARCH(C6,EG6))),1,0))</f>
        <v>0</v>
      </c>
      <c r="EI6" cm="1">
        <f t="array" ref="EI6">IF(EG6="",0,IF(SUMPRODUCT((ISNUMBER(SEARCH(EG6,$C$2:$C$33))+ISNUMBER(SEARCH($C$2:$C$33,EG6))))&gt;0,1,0))</f>
        <v>1</v>
      </c>
      <c r="EJ6">
        <v>0</v>
      </c>
      <c r="EK6">
        <f>K6+L6+M6+N6+O6+P6+AF6+AI6+AL6+AP6+AT6+AX6+BB6+BF6+BJ6+BN6+BR6+BV6+CD6+CH6+CL6+CP6+CT6+DV6+DZ6+ED6+EH6+DN6+DR6+CX6+DB6+DF6+DJ6</f>
        <v>3</v>
      </c>
    </row>
    <row r="7" spans="1:141">
      <c r="A7" s="30">
        <v>6</v>
      </c>
      <c r="B7" s="30" t="str">
        <f>'Actual nfl first round'!C7</f>
        <v>Chiefs</v>
      </c>
      <c r="C7" s="31" t="str" cm="1">
        <f t="array" ref="C7">_xlfn.LET(_xlpm.actual, 'Actual nfl first round'!D7,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Mansoor Delane</v>
      </c>
      <c r="D7" s="32" t="str">
        <f>'Colin''s Mock'!D7</f>
        <v>Francis Mauigoa</v>
      </c>
      <c r="E7" s="32" t="str">
        <f>_xlfn.LET(_xlpm.raw, 'Other analyst '!C7, _xlpm.s, IF(LEFT(_xlpm.raw,1)="[", MID(_xlpm.raw, FIND("] ",_xlpm.raw)+2, 999), _xlpm.raw), IFERROR(TRIM(LEFT(_xlpm.s, FIND(" (",_xlpm.s)-1)), _xlpm.raw))</f>
        <v>Monroe Freeling</v>
      </c>
      <c r="F7" s="32" t="str">
        <f>_xlfn.LET(_xlpm.raw, 'Other analyst '!D7, _xlpm.s, IF(LEFT(_xlpm.raw,1)="[", MID(_xlpm.raw, FIND("] ",_xlpm.raw)+2, 999), _xlpm.raw), IFERROR(TRIM(LEFT(_xlpm.s, FIND(" (",_xlpm.s)-1)), _xlpm.raw))</f>
        <v>Sonny Styles</v>
      </c>
      <c r="G7" s="32" t="str">
        <f>_xlfn.LET(_xlpm.raw, 'Other analyst '!E7, _xlpm.s, IF(LEFT(_xlpm.raw,1)="[", MID(_xlpm.raw, FIND("] ",_xlpm.raw)+2, 999), _xlpm.raw), IFERROR(TRIM(LEFT(_xlpm.s, FIND(" (",_xlpm.s)-1)), _xlpm.raw))</f>
        <v>Spencer Fano</v>
      </c>
      <c r="H7" s="32" t="str">
        <f>_xlfn.LET(_xlpm.raw, 'Other analyst '!F7, _xlpm.s, IF(LEFT(_xlpm.raw,1)="[", MID(_xlpm.raw, FIND("] ",_xlpm.raw)+2, 999), _xlpm.raw), IFERROR(TRIM(LEFT(_xlpm.s, FIND(" (",_xlpm.s)-1)), _xlpm.raw))</f>
        <v>Francis Mauigoa</v>
      </c>
      <c r="I7" s="32" t="str">
        <f>_xlfn.LET(_xlpm.raw, 'Other analyst '!G7, _xlpm.s, IF(LEFT(_xlpm.raw,1)="[", MID(_xlpm.raw, FIND("] ",_xlpm.raw)+2, 999), _xlpm.raw), IFERROR(TRIM(LEFT(_xlpm.s, FIND(" (",_xlpm.s)-1)), _xlpm.raw))</f>
        <v>Carnell Tate</v>
      </c>
      <c r="K7" s="1">
        <f t="shared" si="0"/>
        <v>0</v>
      </c>
      <c r="L7" s="1">
        <f t="shared" si="1"/>
        <v>0</v>
      </c>
      <c r="M7" s="1">
        <f t="shared" si="2"/>
        <v>0</v>
      </c>
      <c r="N7" s="1">
        <f t="shared" si="3"/>
        <v>0</v>
      </c>
      <c r="O7" s="1">
        <f t="shared" si="4"/>
        <v>0</v>
      </c>
      <c r="P7" s="1">
        <f t="shared" si="5"/>
        <v>0</v>
      </c>
      <c r="Q7" s="1" cm="1">
        <f t="array" ref="Q7">IF(D7="", 0, IF(SUMPRODUCT(--(ISNUMBER(SEARCH(D7, $C$2:$C$33)) + ISNUMBER(SEARCH($C$2:$C$33, D7))))&gt;0, 1, 0))</f>
        <v>1</v>
      </c>
      <c r="R7" s="1" cm="1">
        <f t="array" ref="R7">IF(E7="", 0, IF(SUMPRODUCT(--(ISNUMBER(SEARCH(E7, $C$2:$C$33)) + ISNUMBER(SEARCH($C$2:$C$33, E7))))&gt;0, 1, 0))</f>
        <v>1</v>
      </c>
      <c r="S7" s="1" cm="1">
        <f t="array" ref="S7">IF(F7="", 0, IF(SUMPRODUCT(--(ISNUMBER(SEARCH(F7, $C$2:$C$33)) + ISNUMBER(SEARCH($C$2:$C$33, F7))))&gt;0, 1, 0))</f>
        <v>1</v>
      </c>
      <c r="T7" s="1" cm="1">
        <f t="array" ref="T7">IF(G7="", 0, IF(SUMPRODUCT(--(ISNUMBER(SEARCH(G7, $C$2:$C$33)) + ISNUMBER(SEARCH($C$2:$C$33, G7))))&gt;0, 1, 0))</f>
        <v>1</v>
      </c>
      <c r="U7" s="1" cm="1">
        <f t="array" ref="U7">IF(H7="", 0, IF(SUMPRODUCT(--(ISNUMBER(SEARCH(H7, $C$2:$C$33)) + ISNUMBER(SEARCH($C$2:$C$33, H7))))&gt;0, 1, 0))</f>
        <v>1</v>
      </c>
      <c r="V7" s="1" cm="1">
        <f t="array" ref="V7">IF(I7="", 0, IF(SUMPRODUCT(--(ISNUMBER(SEARCH(I7, $C$2:$C$33)) + ISNUMBER(SEARCH($C$2:$C$33, I7))))&gt;0, 1, 0))</f>
        <v>1</v>
      </c>
      <c r="W7" s="1" cm="1">
        <f t="array" ref="W7">IF(D7="",0,IF(SUMPRODUCT((ISNUMBER(SEARCH(D7,$C$2:$C$33))+ISNUMBER(SEARCH($C$2:$C$33,D7)))*($B$2:$B$33=$B7))&gt;0,1,0))</f>
        <v>0</v>
      </c>
      <c r="X7" s="1" cm="1">
        <f t="array" ref="X7">IF(E7="",0,IF(SUMPRODUCT((ISNUMBER(SEARCH(E7,$C$2:$C$33))+ISNUMBER(SEARCH($C$2:$C$33,E7)))*($B$2:$B$33=$B7))&gt;0,1,0))</f>
        <v>0</v>
      </c>
      <c r="Y7" s="1" cm="1">
        <f t="array" ref="Y7">IF(F7="",0,IF(SUMPRODUCT((ISNUMBER(SEARCH(F7,$C$2:$C$33))+ISNUMBER(SEARCH($C$2:$C$33,F7)))*($B$2:$B$33=$B7))&gt;0,1,0))</f>
        <v>0</v>
      </c>
      <c r="Z7" s="1" cm="1">
        <f t="array" ref="Z7">IF(G7="",0,IF(SUMPRODUCT((ISNUMBER(SEARCH(G7,$C$2:$C$33))+ISNUMBER(SEARCH($C$2:$C$33,G7)))*($B$2:$B$33=$B7))&gt;0,1,0))</f>
        <v>0</v>
      </c>
      <c r="AA7" s="1" cm="1">
        <f t="array" ref="AA7">IF(H7="",0,IF(SUMPRODUCT((ISNUMBER(SEARCH(H7,$C$2:$C$33))+ISNUMBER(SEARCH($C$2:$C$33,H7)))*($B$2:$B$33=$B7))&gt;0,1,0))</f>
        <v>0</v>
      </c>
      <c r="AB7" s="1" cm="1">
        <f t="array" ref="AB7">IF(I7="",0,IF(SUMPRODUCT((ISNUMBER(SEARCH(I7,$C$2:$C$33))+ISNUMBER(SEARCH($C$2:$C$33,I7)))*($B$2:$B$33=$B7))&gt;0,1,0))</f>
        <v>0</v>
      </c>
      <c r="AC7" s="36" t="s">
        <v>44</v>
      </c>
      <c r="AD7" s="36" t="s">
        <v>24</v>
      </c>
      <c r="AE7" s="36" t="s">
        <v>30</v>
      </c>
      <c r="AF7">
        <f t="shared" si="6"/>
        <v>0</v>
      </c>
      <c r="AG7" cm="1">
        <f t="array" ref="AG7">IF(AC7="",0,IF(SUMPRODUCT((ISNUMBER(SEARCH(AC7,$C$2:$C$33))+ISNUMBER(SEARCH($C$2:$C$33,AC7))))&gt;0,1,0))</f>
        <v>1</v>
      </c>
      <c r="AH7" cm="1">
        <f t="array" ref="AH7">IF(AC7="",0,IF(SUMPRODUCT((ISNUMBER(SEARCH(AC7,$C$2:$C$33))+ISNUMBER(SEARCH($C$2:$C$33,AC7)))*($B$2:$B$33=$B7))&gt;0,1,0))</f>
        <v>0</v>
      </c>
      <c r="AI7">
        <f t="shared" si="7"/>
        <v>0</v>
      </c>
      <c r="AJ7" cm="1">
        <f t="array" ref="AJ7">IF(AD7="",0,IF(SUMPRODUCT((ISNUMBER(SEARCH(AD7,$C$2:$C$33))+ISNUMBER(SEARCH($C$2:$C$33,AD7))))&gt;0,1,0))</f>
        <v>1</v>
      </c>
      <c r="AK7" cm="1">
        <f t="array" ref="AK7">IF(AD7="",0,IF(SUMPRODUCT((ISNUMBER(SEARCH(AD7,$C$2:$C$33))+ISNUMBER(SEARCH($C$2:$C$33,AD7)))*($B$2:$B$33=$B7))&gt;0,1,0))</f>
        <v>0</v>
      </c>
      <c r="AL7">
        <f t="shared" si="8"/>
        <v>0</v>
      </c>
      <c r="AM7" cm="1">
        <f t="array" ref="AM7">IF(AE7="",0,IF(SUMPRODUCT((ISNUMBER(SEARCH(AE7,$C$2:$C$33))+ISNUMBER(SEARCH($C$2:$C$33,AE7))))&gt;0,1,0))</f>
        <v>1</v>
      </c>
      <c r="AN7" cm="1">
        <f t="array" ref="AN7">IF(AE7="",0,IF(SUMPRODUCT((ISNUMBER(SEARCH(AE7,$C$2:$C$33))+ISNUMBER(SEARCH($C$2:$C$33,AE7)))*($B$2:$B$33=$B7))&gt;0,1,0))</f>
        <v>0</v>
      </c>
      <c r="AO7" s="64" t="str" cm="1">
        <f t="array" ref="AO7">_xlfn.LET(_xlpm.raw,'Other analyst '!K7,_xlpm.mockNames,'Colin''s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Spencer Fano</v>
      </c>
      <c r="AP7">
        <f>IF(OR(AO7="",AO7=0),0,IF(OR(ISNUMBER(SEARCH(AO7,$C7)),ISNUMBER(SEARCH($C7,AO7))),1,0))</f>
        <v>0</v>
      </c>
      <c r="AQ7" cm="1">
        <f t="array" ref="AQ7">IF(OR(AO7="",AO7=0),0,IF(SUMPRODUCT(--(ISNUMBER(SEARCH(AO7,$C$2:$C$33))+ISNUMBER(SEARCH($C$2:$C$33,AO7))))&gt;0,1,0))</f>
        <v>1</v>
      </c>
      <c r="AR7" cm="1">
        <f t="array" ref="AR7">IF(OR(AO7="",AO7=0),0,IF(SUMPRODUCT((ISNUMBER(SEARCH(AO7,$C$2:$C$33))+ISNUMBER(SEARCH($C$2:$C$33,AO7)))*($B$2:$B$33=$B7))&gt;0,1,0))</f>
        <v>0</v>
      </c>
      <c r="AS7" s="64" t="str" cm="1">
        <f t="array" ref="AS7">_xlfn.LET(_xlpm.raw,'Other analyst '!L7,_xlpm.mockNames,'Colin''s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Carnell Tate</v>
      </c>
      <c r="AT7">
        <f>IF(OR(AS7="",AS7=0),0,IF(OR(ISNUMBER(SEARCH(AS7,$C7)),ISNUMBER(SEARCH($C7,AS7))),1,0))</f>
        <v>0</v>
      </c>
      <c r="AU7" cm="1">
        <f t="array" ref="AU7">IF(OR(AS7="",AS7=0),0,IF(SUMPRODUCT(--(ISNUMBER(SEARCH(AS7,$C$2:$C$33))+ISNUMBER(SEARCH($C$2:$C$33,AS7))))&gt;0,1,0))</f>
        <v>1</v>
      </c>
      <c r="AV7" cm="1">
        <f t="array" ref="AV7">IF(OR(AS7="",AS7=0),0,IF(SUMPRODUCT((ISNUMBER(SEARCH(AS7,$C$2:$C$33))+ISNUMBER(SEARCH($C$2:$C$33,AS7)))*($B$2:$B$33=$B7))&gt;0,1,0))</f>
        <v>0</v>
      </c>
      <c r="AW7" s="64" t="str" cm="1">
        <f t="array" ref="AW7">_xlfn.LET(_xlpm.raw,'Other analyst '!M7,_xlpm.mockNames,'Colin''s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Spencer Fano</v>
      </c>
      <c r="AX7">
        <f>IF(OR(AW7="",AW7=0),0,IF(OR(ISNUMBER(SEARCH(AW7,$C7)),ISNUMBER(SEARCH($C7,AW7))),1,0))</f>
        <v>0</v>
      </c>
      <c r="AY7" cm="1">
        <f t="array" ref="AY7">IF(OR(AW7="",AW7=0),0,IF(SUMPRODUCT(--(ISNUMBER(SEARCH(AW7,$C$2:$C$33))+ISNUMBER(SEARCH($C$2:$C$33,AW7))))&gt;0,1,0))</f>
        <v>1</v>
      </c>
      <c r="AZ7" cm="1">
        <f t="array" ref="AZ7">IF(OR(AW7="",AW7=0),0,IF(SUMPRODUCT((ISNUMBER(SEARCH(AW7,$C$2:$C$33))+ISNUMBER(SEARCH($C$2:$C$33,AW7)))*($B$2:$B$33=$B7))&gt;0,1,0))</f>
        <v>0</v>
      </c>
      <c r="BA7" s="64" t="str" cm="1">
        <f t="array" ref="BA7">_xlfn.LET(_xlpm.raw,'Other analyst '!N7,_xlpm.mockNames,'Colin''s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Arvell Reese</v>
      </c>
      <c r="BB7">
        <f>IF(OR(BA7="",BA7=0),0,IF(OR(ISNUMBER(SEARCH(BA7,$C7)),ISNUMBER(SEARCH($C7,BA7))),1,0))</f>
        <v>0</v>
      </c>
      <c r="BC7" cm="1">
        <f t="array" ref="BC7">IF(OR(BA7="",BA7=0),0,IF(SUMPRODUCT(--(ISNUMBER(SEARCH(BA7,$C$2:$C$33))+ISNUMBER(SEARCH($C$2:$C$33,BA7))))&gt;0,1,0))</f>
        <v>1</v>
      </c>
      <c r="BD7" cm="1">
        <f t="array" ref="BD7">IF(OR(BA7="",BA7=0),0,IF(SUMPRODUCT((ISNUMBER(SEARCH(BA7,$C$2:$C$33))+ISNUMBER(SEARCH($C$2:$C$33,BA7)))*($B$2:$B$33=$B7))&gt;0,1,0))</f>
        <v>0</v>
      </c>
      <c r="BE7" s="64" t="str" cm="1">
        <f t="array" ref="BE7">_xlfn.LET(_xlpm.raw,'Other analyst '!O7,_xlpm.mockNames,'Colin''s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Carnell Tate</v>
      </c>
      <c r="BF7">
        <f>IF(OR(BE7="",BE7=0),0,IF(OR(ISNUMBER(SEARCH(BE7,$C7)),ISNUMBER(SEARCH($C7,BE7))),1,0))</f>
        <v>0</v>
      </c>
      <c r="BG7" cm="1">
        <f t="array" ref="BG7">IF(OR(BE7="",BE7=0),0,IF(SUMPRODUCT(--(ISNUMBER(SEARCH(BE7,$C$2:$C$33))+ISNUMBER(SEARCH($C$2:$C$33,BE7))))&gt;0,1,0))</f>
        <v>1</v>
      </c>
      <c r="BH7" cm="1">
        <f t="array" ref="BH7">IF(OR(BE7="",BE7=0),0,IF(SUMPRODUCT((ISNUMBER(SEARCH(BE7,$C$2:$C$33))+ISNUMBER(SEARCH($C$2:$C$33,BE7)))*($B$2:$B$33=$B7))&gt;0,1,0))</f>
        <v>0</v>
      </c>
      <c r="BI7" s="64" t="str" cm="1">
        <f t="array" ref="BI7">_xlfn.LET(_xlpm.raw,'Other analyst '!P7,_xlpm.mockNames,'Colin''s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Carnell Tate</v>
      </c>
      <c r="BJ7">
        <f>IF(OR(BI7="",BI7=0),0,IF(OR(ISNUMBER(SEARCH(BI7,$C7)),ISNUMBER(SEARCH($C7,BI7))),1,0))</f>
        <v>0</v>
      </c>
      <c r="BK7" cm="1">
        <f t="array" ref="BK7">IF(OR(BI7="",BI7=0),0,IF(SUMPRODUCT(--(ISNUMBER(SEARCH(BI7,$C$2:$C$33))+ISNUMBER(SEARCH($C$2:$C$33,BI7))))&gt;0,1,0))</f>
        <v>1</v>
      </c>
      <c r="BL7" cm="1">
        <f t="array" ref="BL7">IF(OR(BI7="",BI7=0),0,IF(SUMPRODUCT((ISNUMBER(SEARCH(BI7,$C$2:$C$33))+ISNUMBER(SEARCH($C$2:$C$33,BI7)))*($B$2:$B$33=$B7))&gt;0,1,0))</f>
        <v>0</v>
      </c>
      <c r="BM7" s="64" t="str" cm="1">
        <f t="array" ref="BM7">_xlfn.LET(_xlpm.raw,'Other analyst '!Q7,_xlpm.mockNames,'Colin''s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Kadyn Proctor</v>
      </c>
      <c r="BN7">
        <f>IF(OR(BM7="",BM7=0),0,IF(OR(ISNUMBER(SEARCH(BM7,$C7)),ISNUMBER(SEARCH($C7,BM7))),1,0))</f>
        <v>0</v>
      </c>
      <c r="BO7" cm="1">
        <f t="array" ref="BO7">IF(OR(BM7="",BM7=0),0,IF(SUMPRODUCT(--(ISNUMBER(SEARCH(BM7,$C$2:$C$33))+ISNUMBER(SEARCH($C$2:$C$33,BM7))))&gt;0,1,0))</f>
        <v>1</v>
      </c>
      <c r="BP7" cm="1">
        <f t="array" ref="BP7">IF(OR(BM7="",BM7=0),0,IF(SUMPRODUCT((ISNUMBER(SEARCH(BM7,$C$2:$C$33))+ISNUMBER(SEARCH($C$2:$C$33,BM7)))*($B$2:$B$33=$B7))&gt;0,1,0))</f>
        <v>0</v>
      </c>
      <c r="BQ7" s="64" t="str" cm="1">
        <f t="array" ref="BQ7">_xlfn.LET(_xlpm.raw,'Other analyst '!R7,_xlpm.mockNames,'Colin''s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Kadyn Proctor</v>
      </c>
      <c r="BR7">
        <f>IF(OR(BQ7="",BQ7=0),0,IF(OR(ISNUMBER(SEARCH(BQ7,$C7)),ISNUMBER(SEARCH($C7,BQ7))),1,0))</f>
        <v>0</v>
      </c>
      <c r="BS7" cm="1">
        <f t="array" ref="BS7">IF(OR(BQ7="",BQ7=0),0,IF(SUMPRODUCT(--(ISNUMBER(SEARCH(BQ7,$C$2:$C$33))+ISNUMBER(SEARCH($C$2:$C$33,BQ7))))&gt;0,1,0))</f>
        <v>1</v>
      </c>
      <c r="BT7" cm="1">
        <f t="array" ref="BT7">IF(OR(BQ7="",BQ7=0),0,IF(SUMPRODUCT((ISNUMBER(SEARCH(BQ7,$C$2:$C$33))+ISNUMBER(SEARCH($C$2:$C$33,BQ7)))*($B$2:$B$33=$B7))&gt;0,1,0))</f>
        <v>0</v>
      </c>
      <c r="BU7" s="76" t="str">
        <f>'Colin Mock wTrade'!D7</f>
        <v>Francis Mauigoa</v>
      </c>
      <c r="BV7">
        <f>IF(BU7="",0,IF(OR(ISNUMBER(SEARCH(BU7,C7)),ISNUMBER(SEARCH(C7,BU7))),1,0))</f>
        <v>0</v>
      </c>
      <c r="BW7" cm="1">
        <f t="array" ref="BW7">IF(BU7="",0,IF(SUMPRODUCT(--(ISNUMBER(SEARCH(BU7,$C$2:$C$33))+ISNUMBER(SEARCH($C$2:$C$33,BU7))))&gt;0,1,0))</f>
        <v>1</v>
      </c>
      <c r="BX7" cm="1">
        <f t="array" ref="BX7">IF(BU7="",0,IFERROR(IF(SUMPRODUCT((ISNUMBER(SEARCH(BU7,$C$2:$C$33))+ISNUMBER(SEARCH($C$2:$C$33,BU7)))*($B$2:$B$33=VLOOKUP('Colin Mock wTrade'!C7,$CA$1:$CB$32,2,FALSE)))&gt;0,1,0),0))</f>
        <v>0</v>
      </c>
      <c r="CA7" t="s">
        <v>29</v>
      </c>
      <c r="CB7" t="s">
        <v>396</v>
      </c>
      <c r="CC7" t="str">
        <f>'Other analyst '!S7</f>
        <v>Francis Mauigoa</v>
      </c>
      <c r="CD7">
        <f t="shared" si="9"/>
        <v>0</v>
      </c>
      <c r="CE7" cm="1">
        <f t="array" ref="CE7">IF(CC7="",0,IF(SUMPRODUCT(--(ISNUMBER(SEARCH(CC7,$C$2:$C$33))+ISNUMBER(SEARCH($C$2:$C$33,CC7))))&gt;0,1,0))</f>
        <v>1</v>
      </c>
      <c r="CF7" cm="1">
        <f t="array" ref="CF7">IF(CC7="",0,IF(SUMPRODUCT((ISNUMBER(SEARCH(CC7,$C$2:$C$33))+ISNUMBER(SEARCH($C$2:$C$33,CC7)))*($B$2:$B$33=$B7))&gt;0,1,0))</f>
        <v>0</v>
      </c>
      <c r="CG7" t="str">
        <f>'Other analyst '!T7</f>
        <v>Sonny Styles</v>
      </c>
      <c r="CH7">
        <f t="shared" si="10"/>
        <v>0</v>
      </c>
      <c r="CI7" cm="1">
        <f t="array" ref="CI7">IF(CG7="",0,IF(SUMPRODUCT(--(ISNUMBER(SEARCH(CG7,$C$2:$C$33))+ISNUMBER(SEARCH($C$2:$C$33,CG7))))&gt;0,1,0))</f>
        <v>1</v>
      </c>
      <c r="CJ7" cm="1">
        <f t="array" ref="CJ7">IF(CG7="",0,IF(SUMPRODUCT((ISNUMBER(SEARCH(CG7,$C$2:$C$33))+ISNUMBER(SEARCH($C$2:$C$33,CG7)))*($B$2:$B$33=$B7))&gt;0,1,0))</f>
        <v>0</v>
      </c>
      <c r="CK7" t="str">
        <f>'Other analyst '!U7</f>
        <v>Francis Mauigoa</v>
      </c>
      <c r="CL7">
        <f t="shared" si="11"/>
        <v>0</v>
      </c>
      <c r="CM7" cm="1">
        <f t="array" ref="CM7">IF(CK7="",0,IF(SUMPRODUCT(--(ISNUMBER(SEARCH(CK7,$C$2:$C$33))+ISNUMBER(SEARCH($C$2:$C$33,CK7))))&gt;0,1,0))</f>
        <v>1</v>
      </c>
      <c r="CN7" cm="1">
        <f t="array" ref="CN7">IF(CK7="",0,IF(SUMPRODUCT((ISNUMBER(SEARCH(CK7,$C$2:$C$33))+ISNUMBER(SEARCH($C$2:$C$33,CK7)))*($B$2:$B$33=$B7))&gt;0,1,0))</f>
        <v>0</v>
      </c>
      <c r="CO7" t="str">
        <f>'Other analyst '!V7</f>
        <v>Jayden Maiava</v>
      </c>
      <c r="CP7">
        <f t="shared" si="12"/>
        <v>0</v>
      </c>
      <c r="CQ7" cm="1">
        <f t="array" ref="CQ7">IF(CO7="",0,IF(SUMPRODUCT(--(ISNUMBER(SEARCH(CO7,$C$2:$C$33))+ISNUMBER(SEARCH($C$2:$C$33,CO7))))&gt;0,1,0))</f>
        <v>0</v>
      </c>
      <c r="CR7" cm="1">
        <f t="array" ref="CR7">IF(CO7="",0,IF(SUMPRODUCT((ISNUMBER(SEARCH(CO7,$C$2:$C$33))+ISNUMBER(SEARCH($C$2:$C$33,CO7)))*($B$2:$B$33=$B7))&gt;0,1,0))</f>
        <v>0</v>
      </c>
      <c r="CS7" s="36" t="str">
        <f>'Other analyst '!W7</f>
        <v>Carnell Tate</v>
      </c>
      <c r="CT7">
        <f t="shared" si="13"/>
        <v>0</v>
      </c>
      <c r="CU7" cm="1">
        <f t="array" ref="CU7">IF(CS7="",0,IF(SUMPRODUCT(--(ISNUMBER(SEARCH(CS7,$C$2:$C$33))+ISNUMBER(SEARCH($C$2:$C$33,CS7))))&gt;0,1,0))</f>
        <v>1</v>
      </c>
      <c r="CV7" cm="1">
        <f t="array" ref="CV7">IF(CS7="",0,IFERROR(IF(SUMPRODUCT((ISNUMBER(SEARCH(CS7,$C$2:$C$33))+ISNUMBER(SEARCH($C$2:$C$33,CS7)))*(ISNUMBER(SEARCH($B$2:$B$33,'Other analyst '!B7))+ISNUMBER(SEARCH('Other analyst '!B7,$B$2:$B$33))))&gt;0,1,0),0))</f>
        <v>0</v>
      </c>
      <c r="CW7" s="78" t="str">
        <f>'Other analyst '!AD7</f>
        <v>Rueben Bain Jr.</v>
      </c>
      <c r="CX7">
        <f t="shared" si="14"/>
        <v>0</v>
      </c>
      <c r="CY7" cm="1">
        <f t="array" ref="CY7">IF(CW7="",0,IF(SUMPRODUCT(--(ISNUMBER(SEARCH(CW7,$C$2:$C$33))+ISNUMBER(SEARCH($C$2:$C$33,CW7))))&gt;0,1,0))</f>
        <v>1</v>
      </c>
      <c r="CZ7" cm="1">
        <f t="array" ref="CZ7">IF(CW7="",0,IF(SUMPRODUCT((ISNUMBER(SEARCH(CW7,$C$2:$C$33))+ISNUMBER(SEARCH($C$2:$C$33,CW7)))*($B$2:$B$33=$B7))&gt;0,1,0))</f>
        <v>0</v>
      </c>
      <c r="DA7" s="36" t="str">
        <f>'Other analyst '!AE7</f>
        <v>Carnell Tate</v>
      </c>
      <c r="DB7">
        <f t="shared" si="15"/>
        <v>0</v>
      </c>
      <c r="DC7" cm="1">
        <f t="array" ref="DC7">IF(DA7="",0,IF(SUMPRODUCT(--(ISNUMBER(SEARCH(DA7,$C$2:$C$33))+ISNUMBER(SEARCH($C$2:$C$33,DA7))))&gt;0,1,0))</f>
        <v>1</v>
      </c>
      <c r="DD7" cm="1">
        <f t="array" ref="DD7">IF(DA7="",0,IF(SUMPRODUCT((ISNUMBER(SEARCH(DA7,$C$2:$C$33))+ISNUMBER(SEARCH($C$2:$C$33,DA7)))*($B$2:$B$33=$B7))&gt;0,1,0))</f>
        <v>0</v>
      </c>
      <c r="DE7" s="36" t="str">
        <f>'Other analyst '!AF7</f>
        <v>Sonny Styles</v>
      </c>
      <c r="DF7">
        <f t="shared" si="16"/>
        <v>0</v>
      </c>
      <c r="DG7" cm="1">
        <f t="array" ref="DG7">IF(DE7="",0,IF(SUMPRODUCT(--(ISNUMBER(SEARCH(DE7,$C$2:$C$33))+ISNUMBER(SEARCH($C$2:$C$33,DE7))))&gt;0,1,0))</f>
        <v>1</v>
      </c>
      <c r="DH7" cm="1">
        <f t="array" ref="DH7">IF(DE7="",0,IF(SUMPRODUCT((ISNUMBER(SEARCH(DE7,$C$2:$C$33))+ISNUMBER(SEARCH($C$2:$C$33,DE7)))*($B$2:$B$33=$B7))&gt;0,1,0))</f>
        <v>0</v>
      </c>
      <c r="DI7" s="78" t="str">
        <f>'Other analyst '!AG7</f>
        <v>Spencer Fano</v>
      </c>
      <c r="DJ7">
        <f t="shared" si="17"/>
        <v>0</v>
      </c>
      <c r="DK7" cm="1">
        <f t="array" ref="DK7">IF(DI7="",0,IF(SUMPRODUCT(--(ISNUMBER(SEARCH(DI7,$C$2:$C$33))+ISNUMBER(SEARCH($C$2:$C$33,DI7))))&gt;0,1,0))</f>
        <v>1</v>
      </c>
      <c r="DL7" cm="1">
        <f t="array" ref="DL7">IF(DI7="",0,IF(SUMPRODUCT((ISNUMBER(SEARCH(DI7,$C$2:$C$33))+ISNUMBER(SEARCH($C$2:$C$33,DI7)))*($B$2:$B$33=$B7))&gt;0,1,0))</f>
        <v>0</v>
      </c>
      <c r="DM7" s="36" t="str">
        <f>'Other analyst '!AB7</f>
        <v>Arvell Reese</v>
      </c>
      <c r="DN7">
        <f t="shared" si="18"/>
        <v>0</v>
      </c>
      <c r="DO7" cm="1">
        <f t="array" ref="DO7">IF(DM7="",0,IF(SUMPRODUCT(--(ISNUMBER(SEARCH(DM7,$C$2:$C$33))+ISNUMBER(SEARCH($C$2:$C$33,DM7))))&gt;0,1,0))</f>
        <v>1</v>
      </c>
      <c r="DP7" cm="1">
        <f t="array" ref="DP7">IF(DM7="",0,IFERROR(IF(SUMPRODUCT((ISNUMBER(SEARCH(DM7,$C$2:$C$33))+ISNUMBER(SEARCH($C$2:$C$33,DM7)))*(ISNUMBER(SEARCH($B$2:$B$33,'Other analyst '!B7))+ISNUMBER(SEARCH('Other analyst '!B7,$B$2:$B$33))))&gt;0,1,0),0))</f>
        <v>0</v>
      </c>
      <c r="DQ7" s="36" t="str">
        <f>'Other analyst '!AC7</f>
        <v>Carnell Tate</v>
      </c>
      <c r="DR7">
        <f t="shared" si="19"/>
        <v>0</v>
      </c>
      <c r="DS7" cm="1">
        <f t="array" ref="DS7">IF(DQ7="",0,IF(SUMPRODUCT(--(ISNUMBER(SEARCH(DQ7,$C$2:$C$33))+ISNUMBER(SEARCH($C$2:$C$33,DQ7))))&gt;0,1,0))</f>
        <v>1</v>
      </c>
      <c r="DT7" cm="1">
        <f t="array" ref="DT7">IF(DQ7="",0,IFERROR(IF(SUMPRODUCT((ISNUMBER(SEARCH(DQ7,$C$2:$C$33))+ISNUMBER(SEARCH($C$2:$C$33,DQ7)))*(ISNUMBER(SEARCH($B$2:$B$33,'Other analyst '!B7))+ISNUMBER(SEARCH('Other analyst '!B7,$B$2:$B$33))))&gt;0,1,0),0))</f>
        <v>0</v>
      </c>
      <c r="DU7" t="str">
        <f>IFERROR(TRIM(LEFT(IF(ISNUMBER(SEARCH("]",'Other analyst '!X7)),MID('Other analyst '!X7,SEARCH("]",'Other analyst '!X7)+1,200),'Other analyst '!X7),IFERROR(SEARCH(" (",IF(ISNUMBER(SEARCH("]",'Other analyst '!X7)),MID('Other analyst '!X7,SEARCH("]",'Other analyst '!X7)+1,200),'Other analyst '!X7))-1,LEN('Other analyst '!X7)))),"")</f>
        <v>Spencer Fano</v>
      </c>
      <c r="DV7">
        <f>IF(DU7="",0,IF(OR(ISNUMBER(SEARCH(DU7,C7)),ISNUMBER(SEARCH(C7,DU7))),1,0))</f>
        <v>0</v>
      </c>
      <c r="DW7" cm="1">
        <f t="array" ref="DW7">IF(DU7="",0,IF(SUMPRODUCT((ISNUMBER(SEARCH(DU7,$C$2:$C$33))+ISNUMBER(SEARCH($C$2:$C$33,DU7))))&gt;0,1,0))</f>
        <v>1</v>
      </c>
      <c r="DX7">
        <v>0</v>
      </c>
      <c r="DY7" t="str">
        <f>IFERROR(TRIM(LEFT(IF(ISNUMBER(SEARCH("]",'Other analyst '!Y7)),MID('Other analyst '!Y7,SEARCH("]",'Other analyst '!Y7)+1,200),'Other analyst '!Y7),IFERROR(SEARCH(" (",IF(ISNUMBER(SEARCH("]",'Other analyst '!Y7)),MID('Other analyst '!Y7,SEARCH("]",'Other analyst '!Y7)+1,200),'Other analyst '!Y7))-1,LEN('Other analyst '!Y7)))),"")</f>
        <v>Francis Mauigoa</v>
      </c>
      <c r="DZ7">
        <f>IF(DY7="",0,IF(OR(ISNUMBER(SEARCH(DY7,C7)),ISNUMBER(SEARCH(C7,DY7))),1,0))</f>
        <v>0</v>
      </c>
      <c r="EA7" cm="1">
        <f t="array" ref="EA7">IF(DY7="",0,IF(SUMPRODUCT((ISNUMBER(SEARCH(DY7,$C$2:$C$33))+ISNUMBER(SEARCH($C$2:$C$33,DY7))))&gt;0,1,0))</f>
        <v>1</v>
      </c>
      <c r="EB7">
        <v>0</v>
      </c>
      <c r="EC7" t="str">
        <f>IFERROR(TRIM(LEFT(IF(ISNUMBER(SEARCH("]",'Other analyst '!Z7)),MID('Other analyst '!Z7,SEARCH("]",'Other analyst '!Z7)+1,200),'Other analyst '!Z7),IFERROR(SEARCH(" (",IF(ISNUMBER(SEARCH("]",'Other analyst '!Z7)),MID('Other analyst '!Z7,SEARCH("]",'Other analyst '!Z7)+1,200),'Other analyst '!Z7))-1,LEN('Other analyst '!Z7)))),"")</f>
        <v>Monroe Freeling</v>
      </c>
      <c r="ED7">
        <f>IF(EC7="",0,IF(OR(ISNUMBER(SEARCH(EC7,C7)),ISNUMBER(SEARCH(C7,EC7))),1,0))</f>
        <v>0</v>
      </c>
      <c r="EE7" cm="1">
        <f t="array" ref="EE7">IF(EC7="",0,IF(SUMPRODUCT((ISNUMBER(SEARCH(EC7,$C$2:$C$33))+ISNUMBER(SEARCH($C$2:$C$33,EC7))))&gt;0,1,0))</f>
        <v>1</v>
      </c>
      <c r="EF7">
        <v>0</v>
      </c>
      <c r="EG7" t="str">
        <f>IFERROR(TRIM(LEFT(IF(ISNUMBER(SEARCH("]",'Other analyst '!AA7)),MID('Other analyst '!AA7,SEARCH("]",'Other analyst '!AA7)+1,200),'Other analyst '!AA7),IFERROR(SEARCH(" (",IF(ISNUMBER(SEARCH("]",'Other analyst '!AA7)),MID('Other analyst '!AA7,SEARCH("]",'Other analyst '!AA7)+1,200),'Other analyst '!AA7))-1,LEN('Other analyst '!AA7)))),"")</f>
        <v>Spencer Fano</v>
      </c>
      <c r="EH7">
        <f>IF(EG7="",0,IF(OR(ISNUMBER(SEARCH(EG7,C7)),ISNUMBER(SEARCH(C7,EG7))),1,0))</f>
        <v>0</v>
      </c>
      <c r="EI7" cm="1">
        <f t="array" ref="EI7">IF(EG7="",0,IF(SUMPRODUCT((ISNUMBER(SEARCH(EG7,$C$2:$C$33))+ISNUMBER(SEARCH($C$2:$C$33,EG7))))&gt;0,1,0))</f>
        <v>1</v>
      </c>
      <c r="EJ7">
        <v>0</v>
      </c>
      <c r="EK7">
        <f>K7+L7+M7+N7+O7+P7+AF7+AI7+AL7+AP7+AT7+AX7+BB7+BF7+BJ7+BN7+BR7+BV7+CD7+CH7+CL7+CP7+CT7+DV7+DZ7+ED7+EH7+DN7+DR7+CX7+DB7+DF7+DJ7</f>
        <v>0</v>
      </c>
    </row>
    <row r="8" spans="1:141">
      <c r="A8" s="30">
        <v>7</v>
      </c>
      <c r="B8" s="30" t="str">
        <f>'Actual nfl first round'!C8</f>
        <v>Commanders</v>
      </c>
      <c r="C8" s="31" t="str" cm="1">
        <f t="array" ref="C8">_xlfn.LET(_xlpm.actual, 'Actual nfl first round'!D8,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Sonny Styles</v>
      </c>
      <c r="D8" s="32" t="str">
        <f>'Colin''s Mock'!D8</f>
        <v>Carnell Tate</v>
      </c>
      <c r="E8" s="32" t="str">
        <f>_xlfn.LET(_xlpm.raw, 'Other analyst '!C8, _xlpm.s, IF(LEFT(_xlpm.raw,1)="[", MID(_xlpm.raw, FIND("] ",_xlpm.raw)+2, 999), _xlpm.raw), IFERROR(TRIM(LEFT(_xlpm.s, FIND(" (",_xlpm.s)-1)), _xlpm.raw))</f>
        <v>Carnell Tate</v>
      </c>
      <c r="F8" s="32" t="str">
        <f>_xlfn.LET(_xlpm.raw, 'Other analyst '!D8, _xlpm.s, IF(LEFT(_xlpm.raw,1)="[", MID(_xlpm.raw, FIND("] ",_xlpm.raw)+2, 999), _xlpm.raw), IFERROR(TRIM(LEFT(_xlpm.s, FIND(" (",_xlpm.s)-1)), _xlpm.raw))</f>
        <v>Carnell Tate</v>
      </c>
      <c r="G8" s="32" t="str">
        <f>_xlfn.LET(_xlpm.raw, 'Other analyst '!E8, _xlpm.s, IF(LEFT(_xlpm.raw,1)="[", MID(_xlpm.raw, FIND("] ",_xlpm.raw)+2, 999), _xlpm.raw), IFERROR(TRIM(LEFT(_xlpm.s, FIND(" (",_xlpm.s)-1)), _xlpm.raw))</f>
        <v>Carnell Tate</v>
      </c>
      <c r="H8" s="32" t="str">
        <f>_xlfn.LET(_xlpm.raw, 'Other analyst '!F8, _xlpm.s, IF(LEFT(_xlpm.raw,1)="[", MID(_xlpm.raw, FIND("] ",_xlpm.raw)+2, 999), _xlpm.raw), IFERROR(TRIM(LEFT(_xlpm.s, FIND(" (",_xlpm.s)-1)), _xlpm.raw))</f>
        <v>Sonny Styles</v>
      </c>
      <c r="I8" s="32" t="str">
        <f>_xlfn.LET(_xlpm.raw, 'Other analyst '!G8, _xlpm.s, IF(LEFT(_xlpm.raw,1)="[", MID(_xlpm.raw, FIND("] ",_xlpm.raw)+2, 999), _xlpm.raw), IFERROR(TRIM(LEFT(_xlpm.s, FIND(" (",_xlpm.s)-1)), _xlpm.raw))</f>
        <v>Jeremiyah Love</v>
      </c>
      <c r="K8" s="1">
        <f t="shared" si="0"/>
        <v>0</v>
      </c>
      <c r="L8" s="1">
        <f t="shared" si="1"/>
        <v>0</v>
      </c>
      <c r="M8" s="1">
        <f t="shared" si="2"/>
        <v>0</v>
      </c>
      <c r="N8" s="1">
        <f t="shared" si="3"/>
        <v>0</v>
      </c>
      <c r="O8" s="1">
        <f t="shared" si="4"/>
        <v>1</v>
      </c>
      <c r="P8" s="1">
        <f t="shared" si="5"/>
        <v>0</v>
      </c>
      <c r="Q8" s="1" cm="1">
        <f t="array" ref="Q8">IF(D8="", 0, IF(SUMPRODUCT(--(ISNUMBER(SEARCH(D8, $C$2:$C$33)) + ISNUMBER(SEARCH($C$2:$C$33, D8))))&gt;0, 1, 0))</f>
        <v>1</v>
      </c>
      <c r="R8" s="1" cm="1">
        <f t="array" ref="R8">IF(E8="", 0, IF(SUMPRODUCT(--(ISNUMBER(SEARCH(E8, $C$2:$C$33)) + ISNUMBER(SEARCH($C$2:$C$33, E8))))&gt;0, 1, 0))</f>
        <v>1</v>
      </c>
      <c r="S8" s="1" cm="1">
        <f t="array" ref="S8">IF(F8="", 0, IF(SUMPRODUCT(--(ISNUMBER(SEARCH(F8, $C$2:$C$33)) + ISNUMBER(SEARCH($C$2:$C$33, F8))))&gt;0, 1, 0))</f>
        <v>1</v>
      </c>
      <c r="T8" s="1" cm="1">
        <f t="array" ref="T8">IF(G8="", 0, IF(SUMPRODUCT(--(ISNUMBER(SEARCH(G8, $C$2:$C$33)) + ISNUMBER(SEARCH($C$2:$C$33, G8))))&gt;0, 1, 0))</f>
        <v>1</v>
      </c>
      <c r="U8" s="1" cm="1">
        <f t="array" ref="U8">IF(H8="", 0, IF(SUMPRODUCT(--(ISNUMBER(SEARCH(H8, $C$2:$C$33)) + ISNUMBER(SEARCH($C$2:$C$33, H8))))&gt;0, 1, 0))</f>
        <v>1</v>
      </c>
      <c r="V8" s="1" cm="1">
        <f t="array" ref="V8">IF(I8="", 0, IF(SUMPRODUCT(--(ISNUMBER(SEARCH(I8, $C$2:$C$33)) + ISNUMBER(SEARCH($C$2:$C$33, I8))))&gt;0, 1, 0))</f>
        <v>1</v>
      </c>
      <c r="W8" s="1" cm="1">
        <f t="array" ref="W8">IF(D8="",0,IF(SUMPRODUCT((ISNUMBER(SEARCH(D8,$C$2:$C$33))+ISNUMBER(SEARCH($C$2:$C$33,D8)))*($B$2:$B$33=$B8))&gt;0,1,0))</f>
        <v>0</v>
      </c>
      <c r="X8" s="1" cm="1">
        <f t="array" ref="X8">IF(E8="",0,IF(SUMPRODUCT((ISNUMBER(SEARCH(E8,$C$2:$C$33))+ISNUMBER(SEARCH($C$2:$C$33,E8)))*($B$2:$B$33=$B8))&gt;0,1,0))</f>
        <v>0</v>
      </c>
      <c r="Y8" s="1" cm="1">
        <f t="array" ref="Y8">IF(F8="",0,IF(SUMPRODUCT((ISNUMBER(SEARCH(F8,$C$2:$C$33))+ISNUMBER(SEARCH($C$2:$C$33,F8)))*($B$2:$B$33=$B8))&gt;0,1,0))</f>
        <v>0</v>
      </c>
      <c r="Z8" s="1" cm="1">
        <f t="array" ref="Z8">IF(G8="",0,IF(SUMPRODUCT((ISNUMBER(SEARCH(G8,$C$2:$C$33))+ISNUMBER(SEARCH($C$2:$C$33,G8)))*($B$2:$B$33=$B8))&gt;0,1,0))</f>
        <v>0</v>
      </c>
      <c r="AA8" s="1" cm="1">
        <f t="array" ref="AA8">IF(H8="",0,IF(SUMPRODUCT((ISNUMBER(SEARCH(H8,$C$2:$C$33))+ISNUMBER(SEARCH($C$2:$C$33,H8)))*($B$2:$B$33=$B8))&gt;0,1,0))</f>
        <v>1</v>
      </c>
      <c r="AB8" s="1" cm="1">
        <f t="array" ref="AB8">IF(I8="",0,IF(SUMPRODUCT((ISNUMBER(SEARCH(I8,$C$2:$C$33))+ISNUMBER(SEARCH($C$2:$C$33,I8)))*($B$2:$B$33=$B8))&gt;0,1,0))</f>
        <v>0</v>
      </c>
      <c r="AC8" s="36" t="s">
        <v>41</v>
      </c>
      <c r="AD8" s="36" t="s">
        <v>30</v>
      </c>
      <c r="AE8" s="36" t="s">
        <v>35</v>
      </c>
      <c r="AF8">
        <f t="shared" si="6"/>
        <v>0</v>
      </c>
      <c r="AG8" cm="1">
        <f t="array" ref="AG8">IF(AC8="",0,IF(SUMPRODUCT((ISNUMBER(SEARCH(AC8,$C$2:$C$33))+ISNUMBER(SEARCH($C$2:$C$33,AC8))))&gt;0,1,0))</f>
        <v>1</v>
      </c>
      <c r="AH8" cm="1">
        <f t="array" ref="AH8">IF(AC8="",0,IF(SUMPRODUCT((ISNUMBER(SEARCH(AC8,$C$2:$C$33))+ISNUMBER(SEARCH($C$2:$C$33,AC8)))*($B$2:$B$33=$B8))&gt;0,1,0))</f>
        <v>0</v>
      </c>
      <c r="AI8">
        <f t="shared" si="7"/>
        <v>0</v>
      </c>
      <c r="AJ8" cm="1">
        <f t="array" ref="AJ8">IF(AD8="",0,IF(SUMPRODUCT((ISNUMBER(SEARCH(AD8,$C$2:$C$33))+ISNUMBER(SEARCH($C$2:$C$33,AD8))))&gt;0,1,0))</f>
        <v>1</v>
      </c>
      <c r="AK8" cm="1">
        <f t="array" ref="AK8">IF(AD8="",0,IF(SUMPRODUCT((ISNUMBER(SEARCH(AD8,$C$2:$C$33))+ISNUMBER(SEARCH($C$2:$C$33,AD8)))*($B$2:$B$33=$B8))&gt;0,1,0))</f>
        <v>0</v>
      </c>
      <c r="AL8">
        <f t="shared" si="8"/>
        <v>0</v>
      </c>
      <c r="AM8" cm="1">
        <f t="array" ref="AM8">IF(AE8="",0,IF(SUMPRODUCT((ISNUMBER(SEARCH(AE8,$C$2:$C$33))+ISNUMBER(SEARCH($C$2:$C$33,AE8))))&gt;0,1,0))</f>
        <v>1</v>
      </c>
      <c r="AN8" cm="1">
        <f t="array" ref="AN8">IF(AE8="",0,IF(SUMPRODUCT((ISNUMBER(SEARCH(AE8,$C$2:$C$33))+ISNUMBER(SEARCH($C$2:$C$33,AE8)))*($B$2:$B$33=$B8))&gt;0,1,0))</f>
        <v>0</v>
      </c>
      <c r="AO8" s="17" t="str" cm="1">
        <f t="array" ref="AO8">_xlfn.LET(_xlpm.raw,'Other analyst '!K8,_xlpm.mockNames,'Colin''s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Sonny Styles</v>
      </c>
      <c r="AP8">
        <f>IF(OR(AO8="",AO8=0),0,IF(OR(ISNUMBER(SEARCH(AO8,$C8)),ISNUMBER(SEARCH($C8,AO8))),1,0))</f>
        <v>1</v>
      </c>
      <c r="AQ8" cm="1">
        <f t="array" ref="AQ8">IF(OR(AO8="",AO8=0),0,IF(SUMPRODUCT(--(ISNUMBER(SEARCH(AO8,$C$2:$C$33))+ISNUMBER(SEARCH($C$2:$C$33,AO8))))&gt;0,1,0))</f>
        <v>1</v>
      </c>
      <c r="AR8" cm="1">
        <f t="array" ref="AR8">IF(OR(AO8="",AO8=0),0,IF(SUMPRODUCT((ISNUMBER(SEARCH(AO8,$C$2:$C$33))+ISNUMBER(SEARCH($C$2:$C$33,AO8)))*($B$2:$B$33=$B8))&gt;0,1,0))</f>
        <v>1</v>
      </c>
      <c r="AS8" s="64" t="str" cm="1">
        <f t="array" ref="AS8">_xlfn.LET(_xlpm.raw,'Other analyst '!L8,_xlpm.mockNames,'Colin''s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Jeremiyah Love</v>
      </c>
      <c r="AT8">
        <f>IF(OR(AS8="",AS8=0),0,IF(OR(ISNUMBER(SEARCH(AS8,$C8)),ISNUMBER(SEARCH($C8,AS8))),1,0))</f>
        <v>0</v>
      </c>
      <c r="AU8" cm="1">
        <f t="array" ref="AU8">IF(OR(AS8="",AS8=0),0,IF(SUMPRODUCT(--(ISNUMBER(SEARCH(AS8,$C$2:$C$33))+ISNUMBER(SEARCH($C$2:$C$33,AS8))))&gt;0,1,0))</f>
        <v>1</v>
      </c>
      <c r="AV8" cm="1">
        <f t="array" ref="AV8">IF(OR(AS8="",AS8=0),0,IF(SUMPRODUCT((ISNUMBER(SEARCH(AS8,$C$2:$C$33))+ISNUMBER(SEARCH($C$2:$C$33,AS8)))*($B$2:$B$33=$B8))&gt;0,1,0))</f>
        <v>0</v>
      </c>
      <c r="AW8" s="17" t="str" cm="1">
        <f t="array" ref="AW8">_xlfn.LET(_xlpm.raw,'Other analyst '!M8,_xlpm.mockNames,'Colin''s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Sonny Styles</v>
      </c>
      <c r="AX8">
        <f>IF(OR(AW8="",AW8=0),0,IF(OR(ISNUMBER(SEARCH(AW8,$C8)),ISNUMBER(SEARCH($C8,AW8))),1,0))</f>
        <v>1</v>
      </c>
      <c r="AY8" cm="1">
        <f t="array" ref="AY8">IF(OR(AW8="",AW8=0),0,IF(SUMPRODUCT(--(ISNUMBER(SEARCH(AW8,$C$2:$C$33))+ISNUMBER(SEARCH($C$2:$C$33,AW8))))&gt;0,1,0))</f>
        <v>1</v>
      </c>
      <c r="AZ8" cm="1">
        <f t="array" ref="AZ8">IF(OR(AW8="",AW8=0),0,IF(SUMPRODUCT((ISNUMBER(SEARCH(AW8,$C$2:$C$33))+ISNUMBER(SEARCH($C$2:$C$33,AW8)))*($B$2:$B$33=$B8))&gt;0,1,0))</f>
        <v>1</v>
      </c>
      <c r="BA8" s="64" t="str" cm="1">
        <f t="array" ref="BA8">_xlfn.LET(_xlpm.raw,'Other analyst '!N8,_xlpm.mockNames,'Colin''s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Carnell Tate</v>
      </c>
      <c r="BB8">
        <f>IF(OR(BA8="",BA8=0),0,IF(OR(ISNUMBER(SEARCH(BA8,$C8)),ISNUMBER(SEARCH($C8,BA8))),1,0))</f>
        <v>0</v>
      </c>
      <c r="BC8" cm="1">
        <f t="array" ref="BC8">IF(OR(BA8="",BA8=0),0,IF(SUMPRODUCT(--(ISNUMBER(SEARCH(BA8,$C$2:$C$33))+ISNUMBER(SEARCH($C$2:$C$33,BA8))))&gt;0,1,0))</f>
        <v>1</v>
      </c>
      <c r="BD8" cm="1">
        <f t="array" ref="BD8">IF(OR(BA8="",BA8=0),0,IF(SUMPRODUCT((ISNUMBER(SEARCH(BA8,$C$2:$C$33))+ISNUMBER(SEARCH($C$2:$C$33,BA8)))*($B$2:$B$33=$B8))&gt;0,1,0))</f>
        <v>0</v>
      </c>
      <c r="BE8" s="17" t="str" cm="1">
        <f t="array" ref="BE8">_xlfn.LET(_xlpm.raw,'Other analyst '!O8,_xlpm.mockNames,'Colin''s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Sonny Styles</v>
      </c>
      <c r="BF8">
        <f>IF(OR(BE8="",BE8=0),0,IF(OR(ISNUMBER(SEARCH(BE8,$C8)),ISNUMBER(SEARCH($C8,BE8))),1,0))</f>
        <v>1</v>
      </c>
      <c r="BG8" cm="1">
        <f t="array" ref="BG8">IF(OR(BE8="",BE8=0),0,IF(SUMPRODUCT(--(ISNUMBER(SEARCH(BE8,$C$2:$C$33))+ISNUMBER(SEARCH($C$2:$C$33,BE8))))&gt;0,1,0))</f>
        <v>1</v>
      </c>
      <c r="BH8" cm="1">
        <f t="array" ref="BH8">IF(OR(BE8="",BE8=0),0,IF(SUMPRODUCT((ISNUMBER(SEARCH(BE8,$C$2:$C$33))+ISNUMBER(SEARCH($C$2:$C$33,BE8)))*($B$2:$B$33=$B8))&gt;0,1,0))</f>
        <v>1</v>
      </c>
      <c r="BI8" s="64" t="str" cm="1">
        <f t="array" ref="BI8">_xlfn.LET(_xlpm.raw,'Other analyst '!P8,_xlpm.mockNames,'Colin''s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Mansoor Delane</v>
      </c>
      <c r="BJ8">
        <f>IF(OR(BI8="",BI8=0),0,IF(OR(ISNUMBER(SEARCH(BI8,$C8)),ISNUMBER(SEARCH($C8,BI8))),1,0))</f>
        <v>0</v>
      </c>
      <c r="BK8" cm="1">
        <f t="array" ref="BK8">IF(OR(BI8="",BI8=0),0,IF(SUMPRODUCT(--(ISNUMBER(SEARCH(BI8,$C$2:$C$33))+ISNUMBER(SEARCH($C$2:$C$33,BI8))))&gt;0,1,0))</f>
        <v>1</v>
      </c>
      <c r="BL8" cm="1">
        <f t="array" ref="BL8">IF(OR(BI8="",BI8=0),0,IF(SUMPRODUCT((ISNUMBER(SEARCH(BI8,$C$2:$C$33))+ISNUMBER(SEARCH($C$2:$C$33,BI8)))*($B$2:$B$33=$B8))&gt;0,1,0))</f>
        <v>0</v>
      </c>
      <c r="BM8" s="64" t="str" cm="1">
        <f t="array" ref="BM8">_xlfn.LET(_xlpm.raw,'Other analyst '!Q8,_xlpm.mockNames,'Colin''s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Jordyn Tyson</v>
      </c>
      <c r="BN8">
        <f>IF(OR(BM8="",BM8=0),0,IF(OR(ISNUMBER(SEARCH(BM8,$C8)),ISNUMBER(SEARCH($C8,BM8))),1,0))</f>
        <v>0</v>
      </c>
      <c r="BO8" cm="1">
        <f t="array" ref="BO8">IF(OR(BM8="",BM8=0),0,IF(SUMPRODUCT(--(ISNUMBER(SEARCH(BM8,$C$2:$C$33))+ISNUMBER(SEARCH($C$2:$C$33,BM8))))&gt;0,1,0))</f>
        <v>1</v>
      </c>
      <c r="BP8" cm="1">
        <f t="array" ref="BP8">IF(OR(BM8="",BM8=0),0,IF(SUMPRODUCT((ISNUMBER(SEARCH(BM8,$C$2:$C$33))+ISNUMBER(SEARCH($C$2:$C$33,BM8)))*($B$2:$B$33=$B8))&gt;0,1,0))</f>
        <v>0</v>
      </c>
      <c r="BQ8" s="64" t="str" cm="1">
        <f t="array" ref="BQ8">_xlfn.LET(_xlpm.raw,'Other analyst '!R8,_xlpm.mockNames,'Colin''s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Mansoor Delane</v>
      </c>
      <c r="BR8">
        <f>IF(OR(BQ8="",BQ8=0),0,IF(OR(ISNUMBER(SEARCH(BQ8,$C8)),ISNUMBER(SEARCH($C8,BQ8))),1,0))</f>
        <v>0</v>
      </c>
      <c r="BS8" cm="1">
        <f t="array" ref="BS8">IF(OR(BQ8="",BQ8=0),0,IF(SUMPRODUCT(--(ISNUMBER(SEARCH(BQ8,$C$2:$C$33))+ISNUMBER(SEARCH($C$2:$C$33,BQ8))))&gt;0,1,0))</f>
        <v>1</v>
      </c>
      <c r="BT8" cm="1">
        <f t="array" ref="BT8">IF(OR(BQ8="",BQ8=0),0,IF(SUMPRODUCT((ISNUMBER(SEARCH(BQ8,$C$2:$C$33))+ISNUMBER(SEARCH($C$2:$C$33,BQ8)))*($B$2:$B$33=$B8))&gt;0,1,0))</f>
        <v>0</v>
      </c>
      <c r="BU8" s="76" t="str">
        <f>'Colin Mock wTrade'!D8</f>
        <v>Carnell Tate</v>
      </c>
      <c r="BV8">
        <f>IF(BU8="",0,IF(OR(ISNUMBER(SEARCH(BU8,C8)),ISNUMBER(SEARCH(C8,BU8))),1,0))</f>
        <v>0</v>
      </c>
      <c r="BW8" cm="1">
        <f t="array" ref="BW8">IF(BU8="",0,IF(SUMPRODUCT(--(ISNUMBER(SEARCH(BU8,$C$2:$C$33))+ISNUMBER(SEARCH($C$2:$C$33,BU8))))&gt;0,1,0))</f>
        <v>1</v>
      </c>
      <c r="BX8" cm="1">
        <f t="array" ref="BX8">IF(BU8="",0,IFERROR(IF(SUMPRODUCT((ISNUMBER(SEARCH(BU8,$C$2:$C$33))+ISNUMBER(SEARCH($C$2:$C$33,BU8)))*($B$2:$B$33=VLOOKUP('Colin Mock wTrade'!C8,$CA$1:$CB$32,2,FALSE)))&gt;0,1,0),0))</f>
        <v>0</v>
      </c>
      <c r="CA8" t="s">
        <v>32</v>
      </c>
      <c r="CB8" t="s">
        <v>398</v>
      </c>
      <c r="CC8" t="str">
        <f>'Other analyst '!S8</f>
        <v>Mansoor Delane</v>
      </c>
      <c r="CD8">
        <f t="shared" si="9"/>
        <v>0</v>
      </c>
      <c r="CE8" cm="1">
        <f t="array" ref="CE8">IF(CC8="",0,IF(SUMPRODUCT(--(ISNUMBER(SEARCH(CC8,$C$2:$C$33))+ISNUMBER(SEARCH($C$2:$C$33,CC8))))&gt;0,1,0))</f>
        <v>1</v>
      </c>
      <c r="CF8" cm="1">
        <f t="array" ref="CF8">IF(CC8="",0,IF(SUMPRODUCT((ISNUMBER(SEARCH(CC8,$C$2:$C$33))+ISNUMBER(SEARCH($C$2:$C$33,CC8)))*($B$2:$B$33=$B8))&gt;0,1,0))</f>
        <v>0</v>
      </c>
      <c r="CG8" t="str">
        <f>'Other analyst '!T8</f>
        <v>Francis Mauigoa</v>
      </c>
      <c r="CH8">
        <f t="shared" si="10"/>
        <v>0</v>
      </c>
      <c r="CI8" cm="1">
        <f t="array" ref="CI8">IF(CG8="",0,IF(SUMPRODUCT(--(ISNUMBER(SEARCH(CG8,$C$2:$C$33))+ISNUMBER(SEARCH($C$2:$C$33,CG8))))&gt;0,1,0))</f>
        <v>1</v>
      </c>
      <c r="CJ8" cm="1">
        <f t="array" ref="CJ8">IF(CG8="",0,IF(SUMPRODUCT((ISNUMBER(SEARCH(CG8,$C$2:$C$33))+ISNUMBER(SEARCH($C$2:$C$33,CG8)))*($B$2:$B$33=$B8))&gt;0,1,0))</f>
        <v>0</v>
      </c>
      <c r="CK8" t="str">
        <f>'Other analyst '!U8</f>
        <v>Carnell Tate</v>
      </c>
      <c r="CL8">
        <f t="shared" si="11"/>
        <v>0</v>
      </c>
      <c r="CM8" cm="1">
        <f t="array" ref="CM8">IF(CK8="",0,IF(SUMPRODUCT(--(ISNUMBER(SEARCH(CK8,$C$2:$C$33))+ISNUMBER(SEARCH($C$2:$C$33,CK8))))&gt;0,1,0))</f>
        <v>1</v>
      </c>
      <c r="CN8" cm="1">
        <f t="array" ref="CN8">IF(CK8="",0,IF(SUMPRODUCT((ISNUMBER(SEARCH(CK8,$C$2:$C$33))+ISNUMBER(SEARCH($C$2:$C$33,CK8)))*($B$2:$B$33=$B8))&gt;0,1,0))</f>
        <v>0</v>
      </c>
      <c r="CO8" t="str">
        <f>'Other analyst '!V8</f>
        <v>Dylan Stewart</v>
      </c>
      <c r="CP8">
        <f t="shared" si="12"/>
        <v>0</v>
      </c>
      <c r="CQ8" cm="1">
        <f t="array" ref="CQ8">IF(CO8="",0,IF(SUMPRODUCT(--(ISNUMBER(SEARCH(CO8,$C$2:$C$33))+ISNUMBER(SEARCH($C$2:$C$33,CO8))))&gt;0,1,0))</f>
        <v>0</v>
      </c>
      <c r="CR8" cm="1">
        <f t="array" ref="CR8">IF(CO8="",0,IF(SUMPRODUCT((ISNUMBER(SEARCH(CO8,$C$2:$C$33))+ISNUMBER(SEARCH($C$2:$C$33,CO8)))*($B$2:$B$33=$B8))&gt;0,1,0))</f>
        <v>0</v>
      </c>
      <c r="CS8" s="36" t="str">
        <f>'Other analyst '!W8</f>
        <v>Jeremiyah Love</v>
      </c>
      <c r="CT8">
        <f t="shared" si="13"/>
        <v>0</v>
      </c>
      <c r="CU8" cm="1">
        <f t="array" ref="CU8">IF(CS8="",0,IF(SUMPRODUCT(--(ISNUMBER(SEARCH(CS8,$C$2:$C$33))+ISNUMBER(SEARCH($C$2:$C$33,CS8))))&gt;0,1,0))</f>
        <v>1</v>
      </c>
      <c r="CV8" cm="1">
        <f t="array" ref="CV8">IF(CS8="",0,IFERROR(IF(SUMPRODUCT((ISNUMBER(SEARCH(CS8,$C$2:$C$33))+ISNUMBER(SEARCH($C$2:$C$33,CS8)))*(ISNUMBER(SEARCH($B$2:$B$33,'Other analyst '!B8))+ISNUMBER(SEARCH('Other analyst '!B8,$B$2:$B$33))))&gt;0,1,0),0))</f>
        <v>0</v>
      </c>
      <c r="CW8" s="36" t="str">
        <f>'Other analyst '!AD8</f>
        <v>Caleb Downs</v>
      </c>
      <c r="CX8">
        <f t="shared" si="14"/>
        <v>0</v>
      </c>
      <c r="CY8" cm="1">
        <f t="array" ref="CY8">IF(CW8="",0,IF(SUMPRODUCT(--(ISNUMBER(SEARCH(CW8,$C$2:$C$33))+ISNUMBER(SEARCH($C$2:$C$33,CW8))))&gt;0,1,0))</f>
        <v>1</v>
      </c>
      <c r="CZ8" cm="1">
        <f t="array" ref="CZ8">IF(CW8="",0,IF(SUMPRODUCT((ISNUMBER(SEARCH(CW8,$C$2:$C$33))+ISNUMBER(SEARCH($C$2:$C$33,CW8)))*($B$2:$B$33=$B8))&gt;0,1,0))</f>
        <v>0</v>
      </c>
      <c r="DA8" s="36" t="str">
        <f>'Other analyst '!AE8</f>
        <v>Sonny Styles</v>
      </c>
      <c r="DB8">
        <f t="shared" si="15"/>
        <v>1</v>
      </c>
      <c r="DC8" cm="1">
        <f t="array" ref="DC8">IF(DA8="",0,IF(SUMPRODUCT(--(ISNUMBER(SEARCH(DA8,$C$2:$C$33))+ISNUMBER(SEARCH($C$2:$C$33,DA8))))&gt;0,1,0))</f>
        <v>1</v>
      </c>
      <c r="DD8" cm="1">
        <f t="array" ref="DD8">IF(DA8="",0,IF(SUMPRODUCT((ISNUMBER(SEARCH(DA8,$C$2:$C$33))+ISNUMBER(SEARCH($C$2:$C$33,DA8)))*($B$2:$B$33=$B8))&gt;0,1,0))</f>
        <v>1</v>
      </c>
      <c r="DE8" s="36" t="str">
        <f>'Other analyst '!AF8</f>
        <v>Jeremiyah Love</v>
      </c>
      <c r="DF8">
        <f t="shared" si="16"/>
        <v>0</v>
      </c>
      <c r="DG8" cm="1">
        <f t="array" ref="DG8">IF(DE8="",0,IF(SUMPRODUCT(--(ISNUMBER(SEARCH(DE8,$C$2:$C$33))+ISNUMBER(SEARCH($C$2:$C$33,DE8))))&gt;0,1,0))</f>
        <v>1</v>
      </c>
      <c r="DH8" cm="1">
        <f t="array" ref="DH8">IF(DE8="",0,IF(SUMPRODUCT((ISNUMBER(SEARCH(DE8,$C$2:$C$33))+ISNUMBER(SEARCH($C$2:$C$33,DE8)))*($B$2:$B$33=$B8))&gt;0,1,0))</f>
        <v>0</v>
      </c>
      <c r="DI8" s="35" t="str">
        <f>'Other analyst '!AG8</f>
        <v>Mansoor Delane</v>
      </c>
      <c r="DJ8">
        <f t="shared" si="17"/>
        <v>0</v>
      </c>
      <c r="DK8" cm="1">
        <f t="array" ref="DK8">IF(DI8="",0,IF(SUMPRODUCT(--(ISNUMBER(SEARCH(DI8,$C$2:$C$33))+ISNUMBER(SEARCH($C$2:$C$33,DI8))))&gt;0,1,0))</f>
        <v>1</v>
      </c>
      <c r="DL8" cm="1">
        <f t="array" ref="DL8">IF(DI8="",0,IF(SUMPRODUCT((ISNUMBER(SEARCH(DI8,$C$2:$C$33))+ISNUMBER(SEARCH($C$2:$C$33,DI8)))*($B$2:$B$33=$B8))&gt;0,1,0))</f>
        <v>0</v>
      </c>
      <c r="DM8" s="36" t="str">
        <f>'Other analyst '!AB8</f>
        <v>Carnell Tate</v>
      </c>
      <c r="DN8">
        <f t="shared" si="18"/>
        <v>0</v>
      </c>
      <c r="DO8" cm="1">
        <f t="array" ref="DO8">IF(DM8="",0,IF(SUMPRODUCT(--(ISNUMBER(SEARCH(DM8,$C$2:$C$33))+ISNUMBER(SEARCH($C$2:$C$33,DM8))))&gt;0,1,0))</f>
        <v>1</v>
      </c>
      <c r="DP8" cm="1">
        <f t="array" ref="DP8">IF(DM8="",0,IFERROR(IF(SUMPRODUCT((ISNUMBER(SEARCH(DM8,$C$2:$C$33))+ISNUMBER(SEARCH($C$2:$C$33,DM8)))*(ISNUMBER(SEARCH($B$2:$B$33,'Other analyst '!B8))+ISNUMBER(SEARCH('Other analyst '!B8,$B$2:$B$33))))&gt;0,1,0),0))</f>
        <v>0</v>
      </c>
      <c r="DQ8" s="36" t="str">
        <f>'Other analyst '!AC8</f>
        <v>Caleb Downs</v>
      </c>
      <c r="DR8">
        <f t="shared" si="19"/>
        <v>0</v>
      </c>
      <c r="DS8" cm="1">
        <f t="array" ref="DS8">IF(DQ8="",0,IF(SUMPRODUCT(--(ISNUMBER(SEARCH(DQ8,$C$2:$C$33))+ISNUMBER(SEARCH($C$2:$C$33,DQ8))))&gt;0,1,0))</f>
        <v>1</v>
      </c>
      <c r="DT8" cm="1">
        <f t="array" ref="DT8">IF(DQ8="",0,IFERROR(IF(SUMPRODUCT((ISNUMBER(SEARCH(DQ8,$C$2:$C$33))+ISNUMBER(SEARCH($C$2:$C$33,DQ8)))*(ISNUMBER(SEARCH($B$2:$B$33,'Other analyst '!B8))+ISNUMBER(SEARCH('Other analyst '!B8,$B$2:$B$33))))&gt;0,1,0),0))</f>
        <v>0</v>
      </c>
      <c r="DU8" t="str">
        <f>IFERROR(TRIM(LEFT(IF(ISNUMBER(SEARCH("]",'Other analyst '!X8)),MID('Other analyst '!X8,SEARCH("]",'Other analyst '!X8)+1,200),'Other analyst '!X8),IFERROR(SEARCH(" (",IF(ISNUMBER(SEARCH("]",'Other analyst '!X8)),MID('Other analyst '!X8,SEARCH("]",'Other analyst '!X8)+1,200),'Other analyst '!X8))-1,LEN('Other analyst '!X8)))),"")</f>
        <v>Carnell Tate</v>
      </c>
      <c r="DV8">
        <f>IF(DU8="",0,IF(OR(ISNUMBER(SEARCH(DU8,C8)),ISNUMBER(SEARCH(C8,DU8))),1,0))</f>
        <v>0</v>
      </c>
      <c r="DW8" cm="1">
        <f t="array" ref="DW8">IF(DU8="",0,IF(SUMPRODUCT((ISNUMBER(SEARCH(DU8,$C$2:$C$33))+ISNUMBER(SEARCH($C$2:$C$33,DU8))))&gt;0,1,0))</f>
        <v>1</v>
      </c>
      <c r="DX8">
        <v>0</v>
      </c>
      <c r="DY8" t="str">
        <f>IFERROR(TRIM(LEFT(IF(ISNUMBER(SEARCH("]",'Other analyst '!Y8)),MID('Other analyst '!Y8,SEARCH("]",'Other analyst '!Y8)+1,200),'Other analyst '!Y8),IFERROR(SEARCH(" (",IF(ISNUMBER(SEARCH("]",'Other analyst '!Y8)),MID('Other analyst '!Y8,SEARCH("]",'Other analyst '!Y8)+1,200),'Other analyst '!Y8))-1,LEN('Other analyst '!Y8)))),"")</f>
        <v>Carnell Tate</v>
      </c>
      <c r="DZ8">
        <f>IF(DY8="",0,IF(OR(ISNUMBER(SEARCH(DY8,C8)),ISNUMBER(SEARCH(C8,DY8))),1,0))</f>
        <v>0</v>
      </c>
      <c r="EA8" cm="1">
        <f t="array" ref="EA8">IF(DY8="",0,IF(SUMPRODUCT((ISNUMBER(SEARCH(DY8,$C$2:$C$33))+ISNUMBER(SEARCH($C$2:$C$33,DY8))))&gt;0,1,0))</f>
        <v>1</v>
      </c>
      <c r="EB8">
        <v>0</v>
      </c>
      <c r="EC8" t="str">
        <f>IFERROR(TRIM(LEFT(IF(ISNUMBER(SEARCH("]",'Other analyst '!Z8)),MID('Other analyst '!Z8,SEARCH("]",'Other analyst '!Z8)+1,200),'Other analyst '!Z8),IFERROR(SEARCH(" (",IF(ISNUMBER(SEARCH("]",'Other analyst '!Z8)),MID('Other analyst '!Z8,SEARCH("]",'Other analyst '!Z8)+1,200),'Other analyst '!Z8))-1,LEN('Other analyst '!Z8)))),"")</f>
        <v>Mansoor Delane</v>
      </c>
      <c r="ED8">
        <f>IF(EC8="",0,IF(OR(ISNUMBER(SEARCH(EC8,C8)),ISNUMBER(SEARCH(C8,EC8))),1,0))</f>
        <v>0</v>
      </c>
      <c r="EE8" cm="1">
        <f t="array" ref="EE8">IF(EC8="",0,IF(SUMPRODUCT((ISNUMBER(SEARCH(EC8,$C$2:$C$33))+ISNUMBER(SEARCH($C$2:$C$33,EC8))))&gt;0,1,0))</f>
        <v>1</v>
      </c>
      <c r="EF8">
        <v>0</v>
      </c>
      <c r="EG8" t="str">
        <f>IFERROR(TRIM(LEFT(IF(ISNUMBER(SEARCH("]",'Other analyst '!AA8)),MID('Other analyst '!AA8,SEARCH("]",'Other analyst '!AA8)+1,200),'Other analyst '!AA8),IFERROR(SEARCH(" (",IF(ISNUMBER(SEARCH("]",'Other analyst '!AA8)),MID('Other analyst '!AA8,SEARCH("]",'Other analyst '!AA8)+1,200),'Other analyst '!AA8))-1,LEN('Other analyst '!AA8)))),"")</f>
        <v>Sonny Styles</v>
      </c>
      <c r="EH8">
        <f>IF(EG8="",0,IF(OR(ISNUMBER(SEARCH(EG8,C8)),ISNUMBER(SEARCH(C8,EG8))),1,0))</f>
        <v>1</v>
      </c>
      <c r="EI8" cm="1">
        <f t="array" ref="EI8">IF(EG8="",0,IF(SUMPRODUCT((ISNUMBER(SEARCH(EG8,$C$2:$C$33))+ISNUMBER(SEARCH($C$2:$C$33,EG8))))&gt;0,1,0))</f>
        <v>1</v>
      </c>
      <c r="EJ8">
        <v>0</v>
      </c>
      <c r="EK8">
        <f>K8+L8+M8+N8+O8+P8+AF8+AI8+AL8+AP8+AT8+AX8+BB8+BF8+BJ8+BN8+BR8+BV8+CD8+CH8+CL8+CP8+CT8+DV8+DZ8+ED8+EH8+DN8+DR8+CX8+DB8+DF8+DJ8</f>
        <v>6</v>
      </c>
    </row>
    <row r="9" spans="1:141">
      <c r="A9" s="30">
        <v>8</v>
      </c>
      <c r="B9" s="30" t="str">
        <f>'Actual nfl first round'!C9</f>
        <v>Saints</v>
      </c>
      <c r="C9" s="31" t="str" cm="1">
        <f t="array" ref="C9">_xlfn.LET(_xlpm.actual, 'Actual nfl first round'!D9,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Jordyn Tyson</v>
      </c>
      <c r="D9" s="32" t="str">
        <f>'Colin''s Mock'!D9</f>
        <v>Rueben Bain</v>
      </c>
      <c r="E9" s="32" t="str">
        <f>_xlfn.LET(_xlpm.raw, 'Other analyst '!C9, _xlpm.s, IF(LEFT(_xlpm.raw,1)="[", MID(_xlpm.raw, FIND("] ",_xlpm.raw)+2, 999), _xlpm.raw), IFERROR(TRIM(LEFT(_xlpm.s, FIND(" (",_xlpm.s)-1)), _xlpm.raw))</f>
        <v>Jordyn Tyson</v>
      </c>
      <c r="F9" s="32" t="str">
        <f>_xlfn.LET(_xlpm.raw, 'Other analyst '!D9, _xlpm.s, IF(LEFT(_xlpm.raw,1)="[", MID(_xlpm.raw, FIND("] ",_xlpm.raw)+2, 999), _xlpm.raw), IFERROR(TRIM(LEFT(_xlpm.s, FIND(" (",_xlpm.s)-1)), _xlpm.raw))</f>
        <v>Rueben Bain Jr.</v>
      </c>
      <c r="G9" s="32" t="str">
        <f>_xlfn.LET(_xlpm.raw, 'Other analyst '!E9, _xlpm.s, IF(LEFT(_xlpm.raw,1)="[", MID(_xlpm.raw, FIND("] ",_xlpm.raw)+2, 999), _xlpm.raw), IFERROR(TRIM(LEFT(_xlpm.s, FIND(" (",_xlpm.s)-1)), _xlpm.raw))</f>
        <v>Caleb Downs</v>
      </c>
      <c r="H9" s="32" t="str">
        <f>_xlfn.LET(_xlpm.raw, 'Other analyst '!F9, _xlpm.s, IF(LEFT(_xlpm.raw,1)="[", MID(_xlpm.raw, FIND("] ",_xlpm.raw)+2, 999), _xlpm.raw), IFERROR(TRIM(LEFT(_xlpm.s, FIND(" (",_xlpm.s)-1)), _xlpm.raw))</f>
        <v>Carnell Tate</v>
      </c>
      <c r="I9" s="32" t="str">
        <f>_xlfn.LET(_xlpm.raw, 'Other analyst '!G9, _xlpm.s, IF(LEFT(_xlpm.raw,1)="[", MID(_xlpm.raw, FIND("] ",_xlpm.raw)+2, 999), _xlpm.raw), IFERROR(TRIM(LEFT(_xlpm.s, FIND(" (",_xlpm.s)-1)), _xlpm.raw))</f>
        <v>Mansoor Delane</v>
      </c>
      <c r="K9" s="1">
        <f t="shared" si="0"/>
        <v>0</v>
      </c>
      <c r="L9" s="1">
        <f t="shared" si="1"/>
        <v>1</v>
      </c>
      <c r="M9" s="1">
        <f t="shared" si="2"/>
        <v>0</v>
      </c>
      <c r="N9" s="1">
        <f t="shared" si="3"/>
        <v>0</v>
      </c>
      <c r="O9" s="1">
        <f t="shared" si="4"/>
        <v>0</v>
      </c>
      <c r="P9" s="1">
        <f t="shared" si="5"/>
        <v>0</v>
      </c>
      <c r="Q9" s="1" cm="1">
        <f t="array" ref="Q9">IF(D9="", 0, IF(SUMPRODUCT(--(ISNUMBER(SEARCH(D9, $C$2:$C$33)) + ISNUMBER(SEARCH($C$2:$C$33, D9))))&gt;0, 1, 0))</f>
        <v>1</v>
      </c>
      <c r="R9" s="1" cm="1">
        <f t="array" ref="R9">IF(E9="", 0, IF(SUMPRODUCT(--(ISNUMBER(SEARCH(E9, $C$2:$C$33)) + ISNUMBER(SEARCH($C$2:$C$33, E9))))&gt;0, 1, 0))</f>
        <v>1</v>
      </c>
      <c r="S9" s="1" cm="1">
        <f t="array" ref="S9">IF(F9="", 0, IF(SUMPRODUCT(--(ISNUMBER(SEARCH(F9, $C$2:$C$33)) + ISNUMBER(SEARCH($C$2:$C$33, F9))))&gt;0, 1, 0))</f>
        <v>1</v>
      </c>
      <c r="T9" s="1" cm="1">
        <f t="array" ref="T9">IF(G9="", 0, IF(SUMPRODUCT(--(ISNUMBER(SEARCH(G9, $C$2:$C$33)) + ISNUMBER(SEARCH($C$2:$C$33, G9))))&gt;0, 1, 0))</f>
        <v>1</v>
      </c>
      <c r="U9" s="1" cm="1">
        <f t="array" ref="U9">IF(H9="", 0, IF(SUMPRODUCT(--(ISNUMBER(SEARCH(H9, $C$2:$C$33)) + ISNUMBER(SEARCH($C$2:$C$33, H9))))&gt;0, 1, 0))</f>
        <v>1</v>
      </c>
      <c r="V9" s="1" cm="1">
        <f t="array" ref="V9">IF(I9="", 0, IF(SUMPRODUCT(--(ISNUMBER(SEARCH(I9, $C$2:$C$33)) + ISNUMBER(SEARCH($C$2:$C$33, I9))))&gt;0, 1, 0))</f>
        <v>1</v>
      </c>
      <c r="W9" s="1" cm="1">
        <f t="array" ref="W9">IF(D9="",0,IF(SUMPRODUCT((ISNUMBER(SEARCH(D9,$C$2:$C$33))+ISNUMBER(SEARCH($C$2:$C$33,D9)))*($B$2:$B$33=$B9))&gt;0,1,0))</f>
        <v>0</v>
      </c>
      <c r="X9" s="1" cm="1">
        <f t="array" ref="X9">IF(E9="",0,IF(SUMPRODUCT((ISNUMBER(SEARCH(E9,$C$2:$C$33))+ISNUMBER(SEARCH($C$2:$C$33,E9)))*($B$2:$B$33=$B9))&gt;0,1,0))</f>
        <v>1</v>
      </c>
      <c r="Y9" s="1" cm="1">
        <f t="array" ref="Y9">IF(F9="",0,IF(SUMPRODUCT((ISNUMBER(SEARCH(F9,$C$2:$C$33))+ISNUMBER(SEARCH($C$2:$C$33,F9)))*($B$2:$B$33=$B9))&gt;0,1,0))</f>
        <v>0</v>
      </c>
      <c r="Z9" s="1" cm="1">
        <f t="array" ref="Z9">IF(G9="",0,IF(SUMPRODUCT((ISNUMBER(SEARCH(G9,$C$2:$C$33))+ISNUMBER(SEARCH($C$2:$C$33,G9)))*($B$2:$B$33=$B9))&gt;0,1,0))</f>
        <v>0</v>
      </c>
      <c r="AA9" s="1" cm="1">
        <f t="array" ref="AA9">IF(H9="",0,IF(SUMPRODUCT((ISNUMBER(SEARCH(H9,$C$2:$C$33))+ISNUMBER(SEARCH($C$2:$C$33,H9)))*($B$2:$B$33=$B9))&gt;0,1,0))</f>
        <v>0</v>
      </c>
      <c r="AB9" s="1" cm="1">
        <f t="array" ref="AB9">IF(I9="",0,IF(SUMPRODUCT((ISNUMBER(SEARCH(I9,$C$2:$C$33))+ISNUMBER(SEARCH($C$2:$C$33,I9)))*($B$2:$B$33=$B9))&gt;0,1,0))</f>
        <v>0</v>
      </c>
      <c r="AC9" s="36" t="s">
        <v>26</v>
      </c>
      <c r="AD9" s="36" t="s">
        <v>598</v>
      </c>
      <c r="AE9" s="36" t="s">
        <v>598</v>
      </c>
      <c r="AF9">
        <f t="shared" si="6"/>
        <v>0</v>
      </c>
      <c r="AG9" cm="1">
        <f t="array" ref="AG9">IF(AC9="",0,IF(SUMPRODUCT((ISNUMBER(SEARCH(AC9,$C$2:$C$33))+ISNUMBER(SEARCH($C$2:$C$33,AC9))))&gt;0,1,0))</f>
        <v>1</v>
      </c>
      <c r="AH9" cm="1">
        <f t="array" ref="AH9">IF(AC9="",0,IF(SUMPRODUCT((ISNUMBER(SEARCH(AC9,$C$2:$C$33))+ISNUMBER(SEARCH($C$2:$C$33,AC9)))*($B$2:$B$33=$B9))&gt;0,1,0))</f>
        <v>0</v>
      </c>
      <c r="AI9">
        <f t="shared" si="7"/>
        <v>0</v>
      </c>
      <c r="AJ9" cm="1">
        <f t="array" ref="AJ9">IF(AD9="",0,IF(SUMPRODUCT((ISNUMBER(SEARCH(AD9,$C$2:$C$33))+ISNUMBER(SEARCH($C$2:$C$33,AD9))))&gt;0,1,0))</f>
        <v>1</v>
      </c>
      <c r="AK9" cm="1">
        <f t="array" ref="AK9">IF(AD9="",0,IF(SUMPRODUCT((ISNUMBER(SEARCH(AD9,$C$2:$C$33))+ISNUMBER(SEARCH($C$2:$C$33,AD9)))*($B$2:$B$33=$B9))&gt;0,1,0))</f>
        <v>0</v>
      </c>
      <c r="AL9">
        <f t="shared" si="8"/>
        <v>0</v>
      </c>
      <c r="AM9" cm="1">
        <f t="array" ref="AM9">IF(AE9="",0,IF(SUMPRODUCT((ISNUMBER(SEARCH(AE9,$C$2:$C$33))+ISNUMBER(SEARCH($C$2:$C$33,AE9))))&gt;0,1,0))</f>
        <v>1</v>
      </c>
      <c r="AN9" cm="1">
        <f t="array" ref="AN9">IF(AE9="",0,IF(SUMPRODUCT((ISNUMBER(SEARCH(AE9,$C$2:$C$33))+ISNUMBER(SEARCH($C$2:$C$33,AE9)))*($B$2:$B$33=$B9))&gt;0,1,0))</f>
        <v>0</v>
      </c>
      <c r="AO9" s="64" t="str" cm="1">
        <f t="array" ref="AO9">_xlfn.LET(_xlpm.raw,'Other analyst '!K9,_xlpm.mockNames,'Colin''s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Carnell Tate</v>
      </c>
      <c r="AP9">
        <f>IF(OR(AO9="",AO9=0),0,IF(OR(ISNUMBER(SEARCH(AO9,$C9)),ISNUMBER(SEARCH($C9,AO9))),1,0))</f>
        <v>0</v>
      </c>
      <c r="AQ9" cm="1">
        <f t="array" ref="AQ9">IF(OR(AO9="",AO9=0),0,IF(SUMPRODUCT(--(ISNUMBER(SEARCH(AO9,$C$2:$C$33))+ISNUMBER(SEARCH($C$2:$C$33,AO9))))&gt;0,1,0))</f>
        <v>1</v>
      </c>
      <c r="AR9" cm="1">
        <f t="array" ref="AR9">IF(OR(AO9="",AO9=0),0,IF(SUMPRODUCT((ISNUMBER(SEARCH(AO9,$C$2:$C$33))+ISNUMBER(SEARCH($C$2:$C$33,AO9)))*($B$2:$B$33=$B9))&gt;0,1,0))</f>
        <v>0</v>
      </c>
      <c r="AS9" s="64" t="str" cm="1">
        <f t="array" ref="AS9">_xlfn.LET(_xlpm.raw,'Other analyst '!L9,_xlpm.mockNames,'Colin''s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Rueben Bain</v>
      </c>
      <c r="AT9">
        <f>IF(OR(AS9="",AS9=0),0,IF(OR(ISNUMBER(SEARCH(AS9,$C9)),ISNUMBER(SEARCH($C9,AS9))),1,0))</f>
        <v>0</v>
      </c>
      <c r="AU9" cm="1">
        <f t="array" ref="AU9">IF(OR(AS9="",AS9=0),0,IF(SUMPRODUCT(--(ISNUMBER(SEARCH(AS9,$C$2:$C$33))+ISNUMBER(SEARCH($C$2:$C$33,AS9))))&gt;0,1,0))</f>
        <v>1</v>
      </c>
      <c r="AV9" cm="1">
        <f t="array" ref="AV9">IF(OR(AS9="",AS9=0),0,IF(SUMPRODUCT((ISNUMBER(SEARCH(AS9,$C$2:$C$33))+ISNUMBER(SEARCH($C$2:$C$33,AS9)))*($B$2:$B$33=$B9))&gt;0,1,0))</f>
        <v>0</v>
      </c>
      <c r="AW9" s="64" t="str" cm="1">
        <f t="array" ref="AW9">_xlfn.LET(_xlpm.raw,'Other analyst '!M9,_xlpm.mockNames,'Colin''s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Carnell Tate</v>
      </c>
      <c r="AX9">
        <f>IF(OR(AW9="",AW9=0),0,IF(OR(ISNUMBER(SEARCH(AW9,$C9)),ISNUMBER(SEARCH($C9,AW9))),1,0))</f>
        <v>0</v>
      </c>
      <c r="AY9" cm="1">
        <f t="array" ref="AY9">IF(OR(AW9="",AW9=0),0,IF(SUMPRODUCT(--(ISNUMBER(SEARCH(AW9,$C$2:$C$33))+ISNUMBER(SEARCH($C$2:$C$33,AW9))))&gt;0,1,0))</f>
        <v>1</v>
      </c>
      <c r="AZ9" cm="1">
        <f t="array" ref="AZ9">IF(OR(AW9="",AW9=0),0,IF(SUMPRODUCT((ISNUMBER(SEARCH(AW9,$C$2:$C$33))+ISNUMBER(SEARCH($C$2:$C$33,AW9)))*($B$2:$B$33=$B9))&gt;0,1,0))</f>
        <v>0</v>
      </c>
      <c r="BA9" s="17" t="str" cm="1">
        <f t="array" ref="BA9">_xlfn.LET(_xlpm.raw,'Other analyst '!N9,_xlpm.mockNames,'Colin''s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Jordyn Tyson</v>
      </c>
      <c r="BB9">
        <f>IF(OR(BA9="",BA9=0),0,IF(OR(ISNUMBER(SEARCH(BA9,$C9)),ISNUMBER(SEARCH($C9,BA9))),1,0))</f>
        <v>1</v>
      </c>
      <c r="BC9" cm="1">
        <f t="array" ref="BC9">IF(OR(BA9="",BA9=0),0,IF(SUMPRODUCT(--(ISNUMBER(SEARCH(BA9,$C$2:$C$33))+ISNUMBER(SEARCH($C$2:$C$33,BA9))))&gt;0,1,0))</f>
        <v>1</v>
      </c>
      <c r="BD9" cm="1">
        <f t="array" ref="BD9">IF(OR(BA9="",BA9=0),0,IF(SUMPRODUCT((ISNUMBER(SEARCH(BA9,$C$2:$C$33))+ISNUMBER(SEARCH($C$2:$C$33,BA9)))*($B$2:$B$33=$B9))&gt;0,1,0))</f>
        <v>1</v>
      </c>
      <c r="BE9" s="64" t="str" cm="1">
        <f t="array" ref="BE9">_xlfn.LET(_xlpm.raw,'Other analyst '!O9,_xlpm.mockNames,'Colin''s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Rueben Bain</v>
      </c>
      <c r="BF9">
        <f>IF(OR(BE9="",BE9=0),0,IF(OR(ISNUMBER(SEARCH(BE9,$C9)),ISNUMBER(SEARCH($C9,BE9))),1,0))</f>
        <v>0</v>
      </c>
      <c r="BG9" cm="1">
        <f t="array" ref="BG9">IF(OR(BE9="",BE9=0),0,IF(SUMPRODUCT(--(ISNUMBER(SEARCH(BE9,$C$2:$C$33))+ISNUMBER(SEARCH($C$2:$C$33,BE9))))&gt;0,1,0))</f>
        <v>1</v>
      </c>
      <c r="BH9" cm="1">
        <f t="array" ref="BH9">IF(OR(BE9="",BE9=0),0,IF(SUMPRODUCT((ISNUMBER(SEARCH(BE9,$C$2:$C$33))+ISNUMBER(SEARCH($C$2:$C$33,BE9)))*($B$2:$B$33=$B9))&gt;0,1,0))</f>
        <v>0</v>
      </c>
      <c r="BI9" s="17" t="str" cm="1">
        <f t="array" ref="BI9">_xlfn.LET(_xlpm.raw,'Other analyst '!P9,_xlpm.mockNames,'Colin''s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Jordyn Tyson</v>
      </c>
      <c r="BJ9">
        <f>IF(OR(BI9="",BI9=0),0,IF(OR(ISNUMBER(SEARCH(BI9,$C9)),ISNUMBER(SEARCH($C9,BI9))),1,0))</f>
        <v>1</v>
      </c>
      <c r="BK9" cm="1">
        <f t="array" ref="BK9">IF(OR(BI9="",BI9=0),0,IF(SUMPRODUCT(--(ISNUMBER(SEARCH(BI9,$C$2:$C$33))+ISNUMBER(SEARCH($C$2:$C$33,BI9))))&gt;0,1,0))</f>
        <v>1</v>
      </c>
      <c r="BL9" cm="1">
        <f t="array" ref="BL9">IF(OR(BI9="",BI9=0),0,IF(SUMPRODUCT((ISNUMBER(SEARCH(BI9,$C$2:$C$33))+ISNUMBER(SEARCH($C$2:$C$33,BI9)))*($B$2:$B$33=$B9))&gt;0,1,0))</f>
        <v>1</v>
      </c>
      <c r="BM9" s="64" t="str" cm="1">
        <f t="array" ref="BM9">_xlfn.LET(_xlpm.raw,'Other analyst '!Q9,_xlpm.mockNames,'Colin''s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Carnell Tate</v>
      </c>
      <c r="BN9">
        <f>IF(OR(BM9="",BM9=0),0,IF(OR(ISNUMBER(SEARCH(BM9,$C9)),ISNUMBER(SEARCH($C9,BM9))),1,0))</f>
        <v>0</v>
      </c>
      <c r="BO9" cm="1">
        <f t="array" ref="BO9">IF(OR(BM9="",BM9=0),0,IF(SUMPRODUCT(--(ISNUMBER(SEARCH(BM9,$C$2:$C$33))+ISNUMBER(SEARCH($C$2:$C$33,BM9))))&gt;0,1,0))</f>
        <v>1</v>
      </c>
      <c r="BP9" cm="1">
        <f t="array" ref="BP9">IF(OR(BM9="",BM9=0),0,IF(SUMPRODUCT((ISNUMBER(SEARCH(BM9,$C$2:$C$33))+ISNUMBER(SEARCH($C$2:$C$33,BM9)))*($B$2:$B$33=$B9))&gt;0,1,0))</f>
        <v>0</v>
      </c>
      <c r="BQ9" s="64" t="str" cm="1">
        <f t="array" ref="BQ9">_xlfn.LET(_xlpm.raw,'Other analyst '!R9,_xlpm.mockNames,'Colin''s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Rueben Bain</v>
      </c>
      <c r="BR9">
        <f>IF(OR(BQ9="",BQ9=0),0,IF(OR(ISNUMBER(SEARCH(BQ9,$C9)),ISNUMBER(SEARCH($C9,BQ9))),1,0))</f>
        <v>0</v>
      </c>
      <c r="BS9" cm="1">
        <f t="array" ref="BS9">IF(OR(BQ9="",BQ9=0),0,IF(SUMPRODUCT(--(ISNUMBER(SEARCH(BQ9,$C$2:$C$33))+ISNUMBER(SEARCH($C$2:$C$33,BQ9))))&gt;0,1,0))</f>
        <v>1</v>
      </c>
      <c r="BT9" cm="1">
        <f t="array" ref="BT9">IF(OR(BQ9="",BQ9=0),0,IF(SUMPRODUCT((ISNUMBER(SEARCH(BQ9,$C$2:$C$33))+ISNUMBER(SEARCH($C$2:$C$33,BQ9)))*($B$2:$B$33=$B9))&gt;0,1,0))</f>
        <v>0</v>
      </c>
      <c r="BU9" s="76" t="str">
        <f>'Colin Mock wTrade'!D9</f>
        <v>Rueben Bain</v>
      </c>
      <c r="BV9">
        <f>IF(BU9="",0,IF(OR(ISNUMBER(SEARCH(BU9,C9)),ISNUMBER(SEARCH(C9,BU9))),1,0))</f>
        <v>0</v>
      </c>
      <c r="BW9" cm="1">
        <f t="array" ref="BW9">IF(BU9="",0,IF(SUMPRODUCT(--(ISNUMBER(SEARCH(BU9,$C$2:$C$33))+ISNUMBER(SEARCH($C$2:$C$33,BU9))))&gt;0,1,0))</f>
        <v>1</v>
      </c>
      <c r="BX9" cm="1">
        <f t="array" ref="BX9">IF(BU9="",0,IFERROR(IF(SUMPRODUCT((ISNUMBER(SEARCH(BU9,$C$2:$C$33))+ISNUMBER(SEARCH($C$2:$C$33,BU9)))*($B$2:$B$33=VLOOKUP('Colin Mock wTrade'!C9,$CA$1:$CB$32,2,FALSE)))&gt;0,1,0),0))</f>
        <v>0</v>
      </c>
      <c r="CA9" t="s">
        <v>34</v>
      </c>
      <c r="CB9" t="s">
        <v>394</v>
      </c>
      <c r="CC9" t="str">
        <f>'Other analyst '!S9</f>
        <v>Carnell Tate</v>
      </c>
      <c r="CD9">
        <f t="shared" si="9"/>
        <v>0</v>
      </c>
      <c r="CE9" cm="1">
        <f t="array" ref="CE9">IF(CC9="",0,IF(SUMPRODUCT(--(ISNUMBER(SEARCH(CC9,$C$2:$C$33))+ISNUMBER(SEARCH($C$2:$C$33,CC9))))&gt;0,1,0))</f>
        <v>1</v>
      </c>
      <c r="CF9" cm="1">
        <f t="array" ref="CF9">IF(CC9="",0,IF(SUMPRODUCT((ISNUMBER(SEARCH(CC9,$C$2:$C$33))+ISNUMBER(SEARCH($C$2:$C$33,CC9)))*($B$2:$B$33=$B9))&gt;0,1,0))</f>
        <v>0</v>
      </c>
      <c r="CG9" t="str">
        <f>'Other analyst '!T9</f>
        <v>Carnell Tate</v>
      </c>
      <c r="CH9">
        <f t="shared" si="10"/>
        <v>0</v>
      </c>
      <c r="CI9" cm="1">
        <f t="array" ref="CI9">IF(CG9="",0,IF(SUMPRODUCT(--(ISNUMBER(SEARCH(CG9,$C$2:$C$33))+ISNUMBER(SEARCH($C$2:$C$33,CG9))))&gt;0,1,0))</f>
        <v>1</v>
      </c>
      <c r="CJ9" cm="1">
        <f t="array" ref="CJ9">IF(CG9="",0,IF(SUMPRODUCT((ISNUMBER(SEARCH(CG9,$C$2:$C$33))+ISNUMBER(SEARCH($C$2:$C$33,CG9)))*($B$2:$B$33=$B9))&gt;0,1,0))</f>
        <v>0</v>
      </c>
      <c r="CK9" t="str">
        <f>'Other analyst '!U9</f>
        <v>Rueben Bain Jr.</v>
      </c>
      <c r="CL9">
        <f t="shared" si="11"/>
        <v>0</v>
      </c>
      <c r="CM9" cm="1">
        <f t="array" ref="CM9">IF(CK9="",0,IF(SUMPRODUCT(--(ISNUMBER(SEARCH(CK9,$C$2:$C$33))+ISNUMBER(SEARCH($C$2:$C$33,CK9))))&gt;0,1,0))</f>
        <v>1</v>
      </c>
      <c r="CN9" cm="1">
        <f t="array" ref="CN9">IF(CK9="",0,IF(SUMPRODUCT((ISNUMBER(SEARCH(CK9,$C$2:$C$33))+ISNUMBER(SEARCH($C$2:$C$33,CK9)))*($B$2:$B$33=$B9))&gt;0,1,0))</f>
        <v>0</v>
      </c>
      <c r="CO9" t="str">
        <f>'Other analyst '!V9</f>
        <v>Colin Simmons</v>
      </c>
      <c r="CP9">
        <f t="shared" si="12"/>
        <v>0</v>
      </c>
      <c r="CQ9" cm="1">
        <f t="array" ref="CQ9">IF(CO9="",0,IF(SUMPRODUCT(--(ISNUMBER(SEARCH(CO9,$C$2:$C$33))+ISNUMBER(SEARCH($C$2:$C$33,CO9))))&gt;0,1,0))</f>
        <v>0</v>
      </c>
      <c r="CR9" cm="1">
        <f t="array" ref="CR9">IF(CO9="",0,IF(SUMPRODUCT((ISNUMBER(SEARCH(CO9,$C$2:$C$33))+ISNUMBER(SEARCH($C$2:$C$33,CO9)))*($B$2:$B$33=$B9))&gt;0,1,0))</f>
        <v>0</v>
      </c>
      <c r="CS9" s="36" t="str">
        <f>'Other analyst '!W9</f>
        <v>Makai Lemon</v>
      </c>
      <c r="CT9">
        <f t="shared" si="13"/>
        <v>0</v>
      </c>
      <c r="CU9" cm="1">
        <f t="array" ref="CU9">IF(CS9="",0,IF(SUMPRODUCT(--(ISNUMBER(SEARCH(CS9,$C$2:$C$33))+ISNUMBER(SEARCH($C$2:$C$33,CS9))))&gt;0,1,0))</f>
        <v>1</v>
      </c>
      <c r="CV9" cm="1">
        <f t="array" ref="CV9">IF(CS9="",0,IFERROR(IF(SUMPRODUCT((ISNUMBER(SEARCH(CS9,$C$2:$C$33))+ISNUMBER(SEARCH($C$2:$C$33,CS9)))*(ISNUMBER(SEARCH($B$2:$B$33,'Other analyst '!B9))+ISNUMBER(SEARCH('Other analyst '!B9,$B$2:$B$33))))&gt;0,1,0),0))</f>
        <v>0</v>
      </c>
      <c r="CW9" s="36" t="str">
        <f>'Other analyst '!AD9</f>
        <v>Mansoor Delane</v>
      </c>
      <c r="CX9">
        <f t="shared" si="14"/>
        <v>0</v>
      </c>
      <c r="CY9" cm="1">
        <f t="array" ref="CY9">IF(CW9="",0,IF(SUMPRODUCT(--(ISNUMBER(SEARCH(CW9,$C$2:$C$33))+ISNUMBER(SEARCH($C$2:$C$33,CW9))))&gt;0,1,0))</f>
        <v>1</v>
      </c>
      <c r="CZ9" cm="1">
        <f t="array" ref="CZ9">IF(CW9="",0,IF(SUMPRODUCT((ISNUMBER(SEARCH(CW9,$C$2:$C$33))+ISNUMBER(SEARCH($C$2:$C$33,CW9)))*($B$2:$B$33=$B9))&gt;0,1,0))</f>
        <v>0</v>
      </c>
      <c r="DA9" s="36" t="str">
        <f>'Other analyst '!AE9</f>
        <v>Jordyn Tyson</v>
      </c>
      <c r="DB9">
        <f t="shared" si="15"/>
        <v>1</v>
      </c>
      <c r="DC9" cm="1">
        <f t="array" ref="DC9">IF(DA9="",0,IF(SUMPRODUCT(--(ISNUMBER(SEARCH(DA9,$C$2:$C$33))+ISNUMBER(SEARCH($C$2:$C$33,DA9))))&gt;0,1,0))</f>
        <v>1</v>
      </c>
      <c r="DD9" cm="1">
        <f t="array" ref="DD9">IF(DA9="",0,IF(SUMPRODUCT((ISNUMBER(SEARCH(DA9,$C$2:$C$33))+ISNUMBER(SEARCH($C$2:$C$33,DA9)))*($B$2:$B$33=$B9))&gt;0,1,0))</f>
        <v>1</v>
      </c>
      <c r="DE9" s="36" t="str">
        <f>'Other analyst '!AF9</f>
        <v>Mansoor Delane</v>
      </c>
      <c r="DF9">
        <f t="shared" si="16"/>
        <v>0</v>
      </c>
      <c r="DG9" cm="1">
        <f t="array" ref="DG9">IF(DE9="",0,IF(SUMPRODUCT(--(ISNUMBER(SEARCH(DE9,$C$2:$C$33))+ISNUMBER(SEARCH($C$2:$C$33,DE9))))&gt;0,1,0))</f>
        <v>1</v>
      </c>
      <c r="DH9" cm="1">
        <f t="array" ref="DH9">IF(DE9="",0,IF(SUMPRODUCT((ISNUMBER(SEARCH(DE9,$C$2:$C$33))+ISNUMBER(SEARCH($C$2:$C$33,DE9)))*($B$2:$B$33=$B9))&gt;0,1,0))</f>
        <v>0</v>
      </c>
      <c r="DI9" s="36" t="str">
        <f>'Other analyst '!AG9</f>
        <v>Jordyn Tyson</v>
      </c>
      <c r="DJ9">
        <f t="shared" si="17"/>
        <v>1</v>
      </c>
      <c r="DK9" cm="1">
        <f t="array" ref="DK9">IF(DI9="",0,IF(SUMPRODUCT(--(ISNUMBER(SEARCH(DI9,$C$2:$C$33))+ISNUMBER(SEARCH($C$2:$C$33,DI9))))&gt;0,1,0))</f>
        <v>1</v>
      </c>
      <c r="DL9" cm="1">
        <f t="array" ref="DL9">IF(DI9="",0,IF(SUMPRODUCT((ISNUMBER(SEARCH(DI9,$C$2:$C$33))+ISNUMBER(SEARCH($C$2:$C$33,DI9)))*($B$2:$B$33=$B9))&gt;0,1,0))</f>
        <v>1</v>
      </c>
      <c r="DM9" s="36" t="str">
        <f>'Other analyst '!AB9</f>
        <v>Mansoor Delane</v>
      </c>
      <c r="DN9">
        <f t="shared" si="18"/>
        <v>0</v>
      </c>
      <c r="DO9" cm="1">
        <f t="array" ref="DO9">IF(DM9="",0,IF(SUMPRODUCT(--(ISNUMBER(SEARCH(DM9,$C$2:$C$33))+ISNUMBER(SEARCH($C$2:$C$33,DM9))))&gt;0,1,0))</f>
        <v>1</v>
      </c>
      <c r="DP9" cm="1">
        <f t="array" ref="DP9">IF(DM9="",0,IFERROR(IF(SUMPRODUCT((ISNUMBER(SEARCH(DM9,$C$2:$C$33))+ISNUMBER(SEARCH($C$2:$C$33,DM9)))*(ISNUMBER(SEARCH($B$2:$B$33,'Other analyst '!B9))+ISNUMBER(SEARCH('Other analyst '!B9,$B$2:$B$33))))&gt;0,1,0),0))</f>
        <v>0</v>
      </c>
      <c r="DQ9" s="36" t="str">
        <f>'Other analyst '!AC9</f>
        <v>Rueben Bain Jr.</v>
      </c>
      <c r="DR9">
        <f t="shared" si="19"/>
        <v>0</v>
      </c>
      <c r="DS9" cm="1">
        <f t="array" ref="DS9">IF(DQ9="",0,IF(SUMPRODUCT(--(ISNUMBER(SEARCH(DQ9,$C$2:$C$33))+ISNUMBER(SEARCH($C$2:$C$33,DQ9))))&gt;0,1,0))</f>
        <v>1</v>
      </c>
      <c r="DT9" cm="1">
        <f t="array" ref="DT9">IF(DQ9="",0,IFERROR(IF(SUMPRODUCT((ISNUMBER(SEARCH(DQ9,$C$2:$C$33))+ISNUMBER(SEARCH($C$2:$C$33,DQ9)))*(ISNUMBER(SEARCH($B$2:$B$33,'Other analyst '!B9))+ISNUMBER(SEARCH('Other analyst '!B9,$B$2:$B$33))))&gt;0,1,0),0))</f>
        <v>0</v>
      </c>
      <c r="DU9" t="str">
        <f>IFERROR(TRIM(LEFT(IF(ISNUMBER(SEARCH("]",'Other analyst '!X9)),MID('Other analyst '!X9,SEARCH("]",'Other analyst '!X9)+1,200),'Other analyst '!X9),IFERROR(SEARCH(" (",IF(ISNUMBER(SEARCH("]",'Other analyst '!X9)),MID('Other analyst '!X9,SEARCH("]",'Other analyst '!X9)+1,200),'Other analyst '!X9))-1,LEN('Other analyst '!X9)))),"")</f>
        <v>Caleb Downs</v>
      </c>
      <c r="DV9">
        <f>IF(DU9="",0,IF(OR(ISNUMBER(SEARCH(DU9,C9)),ISNUMBER(SEARCH(C9,DU9))),1,0))</f>
        <v>0</v>
      </c>
      <c r="DW9" cm="1">
        <f t="array" ref="DW9">IF(DU9="",0,IF(SUMPRODUCT((ISNUMBER(SEARCH(DU9,$C$2:$C$33))+ISNUMBER(SEARCH($C$2:$C$33,DU9))))&gt;0,1,0))</f>
        <v>1</v>
      </c>
      <c r="DX9">
        <v>0</v>
      </c>
      <c r="DY9" t="str">
        <f>IFERROR(TRIM(LEFT(IF(ISNUMBER(SEARCH("]",'Other analyst '!Y9)),MID('Other analyst '!Y9,SEARCH("]",'Other analyst '!Y9)+1,200),'Other analyst '!Y9),IFERROR(SEARCH(" (",IF(ISNUMBER(SEARCH("]",'Other analyst '!Y9)),MID('Other analyst '!Y9,SEARCH("]",'Other analyst '!Y9)+1,200),'Other analyst '!Y9))-1,LEN('Other analyst '!Y9)))),"")</f>
        <v>Arvell Reese</v>
      </c>
      <c r="DZ9">
        <f>IF(DY9="",0,IF(OR(ISNUMBER(SEARCH(DY9,C9)),ISNUMBER(SEARCH(C9,DY9))),1,0))</f>
        <v>0</v>
      </c>
      <c r="EA9" cm="1">
        <f t="array" ref="EA9">IF(DY9="",0,IF(SUMPRODUCT((ISNUMBER(SEARCH(DY9,$C$2:$C$33))+ISNUMBER(SEARCH($C$2:$C$33,DY9))))&gt;0,1,0))</f>
        <v>1</v>
      </c>
      <c r="EB9">
        <v>0</v>
      </c>
      <c r="EC9" t="str">
        <f>IFERROR(TRIM(LEFT(IF(ISNUMBER(SEARCH("]",'Other analyst '!Z9)),MID('Other analyst '!Z9,SEARCH("]",'Other analyst '!Z9)+1,200),'Other analyst '!Z9),IFERROR(SEARCH(" (",IF(ISNUMBER(SEARCH("]",'Other analyst '!Z9)),MID('Other analyst '!Z9,SEARCH("]",'Other analyst '!Z9)+1,200),'Other analyst '!Z9))-1,LEN('Other analyst '!Z9)))),"")</f>
        <v>Rueben Bain Jr.</v>
      </c>
      <c r="ED9">
        <f>IF(EC9="",0,IF(OR(ISNUMBER(SEARCH(EC9,C9)),ISNUMBER(SEARCH(C9,EC9))),1,0))</f>
        <v>0</v>
      </c>
      <c r="EE9" cm="1">
        <f t="array" ref="EE9">IF(EC9="",0,IF(SUMPRODUCT((ISNUMBER(SEARCH(EC9,$C$2:$C$33))+ISNUMBER(SEARCH($C$2:$C$33,EC9))))&gt;0,1,0))</f>
        <v>1</v>
      </c>
      <c r="EF9">
        <v>0</v>
      </c>
      <c r="EG9" t="str">
        <f>IFERROR(TRIM(LEFT(IF(ISNUMBER(SEARCH("]",'Other analyst '!AA9)),MID('Other analyst '!AA9,SEARCH("]",'Other analyst '!AA9)+1,200),'Other analyst '!AA9),IFERROR(SEARCH(" (",IF(ISNUMBER(SEARCH("]",'Other analyst '!AA9)),MID('Other analyst '!AA9,SEARCH("]",'Other analyst '!AA9)+1,200),'Other analyst '!AA9))-1,LEN('Other analyst '!AA9)))),"")</f>
        <v>Caleb Downs</v>
      </c>
      <c r="EH9">
        <f>IF(EG9="",0,IF(OR(ISNUMBER(SEARCH(EG9,C9)),ISNUMBER(SEARCH(C9,EG9))),1,0))</f>
        <v>0</v>
      </c>
      <c r="EI9" cm="1">
        <f t="array" ref="EI9">IF(EG9="",0,IF(SUMPRODUCT((ISNUMBER(SEARCH(EG9,$C$2:$C$33))+ISNUMBER(SEARCH($C$2:$C$33,EG9))))&gt;0,1,0))</f>
        <v>1</v>
      </c>
      <c r="EJ9">
        <v>0</v>
      </c>
      <c r="EK9">
        <f>K9+L9+M9+N9+O9+P9+AF9+AI9+AL9+AP9+AT9+AX9+BB9+BF9+BJ9+BN9+BR9+BV9+CD9+CH9+CL9+CP9+CT9+DV9+DZ9+ED9+EH9+DN9+DR9+CX9+DB9+DF9+DJ9</f>
        <v>5</v>
      </c>
    </row>
    <row r="10" spans="1:141">
      <c r="A10" s="30">
        <v>9</v>
      </c>
      <c r="B10" s="30" t="str">
        <f>'Actual nfl first round'!C10</f>
        <v>Browns</v>
      </c>
      <c r="C10" s="31" t="str" cm="1">
        <f t="array" ref="C10">_xlfn.LET(_xlpm.actual, 'Actual nfl first round'!D10,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Spencer Fano</v>
      </c>
      <c r="D10" s="32" t="str">
        <f>'Colin''s Mock'!D10</f>
        <v>Mansoor Delane</v>
      </c>
      <c r="E10" s="32" t="str">
        <f>_xlfn.LET(_xlpm.raw, 'Other analyst '!C10, _xlpm.s, IF(LEFT(_xlpm.raw,1)="[", MID(_xlpm.raw, FIND("] ",_xlpm.raw)+2, 999), _xlpm.raw), IFERROR(TRIM(LEFT(_xlpm.s, FIND(" (",_xlpm.s)-1)), _xlpm.raw))</f>
        <v>Caleb Downs</v>
      </c>
      <c r="F10" s="32" t="str">
        <f>_xlfn.LET(_xlpm.raw, 'Other analyst '!D10, _xlpm.s, IF(LEFT(_xlpm.raw,1)="[", MID(_xlpm.raw, FIND("] ",_xlpm.raw)+2, 999), _xlpm.raw), IFERROR(TRIM(LEFT(_xlpm.s, FIND(" (",_xlpm.s)-1)), _xlpm.raw))</f>
        <v>Jordyn Tyson</v>
      </c>
      <c r="G10" s="32" t="str">
        <f>_xlfn.LET(_xlpm.raw, 'Other analyst '!E10, _xlpm.s, IF(LEFT(_xlpm.raw,1)="[", MID(_xlpm.raw, FIND("] ",_xlpm.raw)+2, 999), _xlpm.raw), IFERROR(TRIM(LEFT(_xlpm.s, FIND(" (",_xlpm.s)-1)), _xlpm.raw))</f>
        <v>Mansoor Delane</v>
      </c>
      <c r="H10" s="32" t="str">
        <f>_xlfn.LET(_xlpm.raw, 'Other analyst '!F10, _xlpm.s, IF(LEFT(_xlpm.raw,1)="[", MID(_xlpm.raw, FIND("] ",_xlpm.raw)+2, 999), _xlpm.raw), IFERROR(TRIM(LEFT(_xlpm.s, FIND(" (",_xlpm.s)-1)), _xlpm.raw))</f>
        <v>Rueben Bain Jr.</v>
      </c>
      <c r="I10" s="32" t="str">
        <f>_xlfn.LET(_xlpm.raw, 'Other analyst '!G10, _xlpm.s, IF(LEFT(_xlpm.raw,1)="[", MID(_xlpm.raw, FIND("] ",_xlpm.raw)+2, 999), _xlpm.raw), IFERROR(TRIM(LEFT(_xlpm.s, FIND(" (",_xlpm.s)-1)), _xlpm.raw))</f>
        <v>Rueben Bain Jr.</v>
      </c>
      <c r="K10" s="1">
        <f t="shared" si="0"/>
        <v>0</v>
      </c>
      <c r="L10" s="1">
        <f t="shared" si="1"/>
        <v>0</v>
      </c>
      <c r="M10" s="1">
        <f t="shared" si="2"/>
        <v>0</v>
      </c>
      <c r="N10" s="1">
        <f t="shared" si="3"/>
        <v>0</v>
      </c>
      <c r="O10" s="1">
        <f t="shared" si="4"/>
        <v>0</v>
      </c>
      <c r="P10" s="1">
        <f t="shared" si="5"/>
        <v>0</v>
      </c>
      <c r="Q10" s="1" cm="1">
        <f t="array" ref="Q10">IF(D10="", 0, IF(SUMPRODUCT(--(ISNUMBER(SEARCH(D10, $C$2:$C$33)) + ISNUMBER(SEARCH($C$2:$C$33, D10))))&gt;0, 1, 0))</f>
        <v>1</v>
      </c>
      <c r="R10" s="1" cm="1">
        <f t="array" ref="R10">IF(E10="", 0, IF(SUMPRODUCT(--(ISNUMBER(SEARCH(E10, $C$2:$C$33)) + ISNUMBER(SEARCH($C$2:$C$33, E10))))&gt;0, 1, 0))</f>
        <v>1</v>
      </c>
      <c r="S10" s="1" cm="1">
        <f t="array" ref="S10">IF(F10="", 0, IF(SUMPRODUCT(--(ISNUMBER(SEARCH(F10, $C$2:$C$33)) + ISNUMBER(SEARCH($C$2:$C$33, F10))))&gt;0, 1, 0))</f>
        <v>1</v>
      </c>
      <c r="T10" s="1" cm="1">
        <f t="array" ref="T10">IF(G10="", 0, IF(SUMPRODUCT(--(ISNUMBER(SEARCH(G10, $C$2:$C$33)) + ISNUMBER(SEARCH($C$2:$C$33, G10))))&gt;0, 1, 0))</f>
        <v>1</v>
      </c>
      <c r="U10" s="1" cm="1">
        <f t="array" ref="U10">IF(H10="", 0, IF(SUMPRODUCT(--(ISNUMBER(SEARCH(H10, $C$2:$C$33)) + ISNUMBER(SEARCH($C$2:$C$33, H10))))&gt;0, 1, 0))</f>
        <v>1</v>
      </c>
      <c r="V10" s="1" cm="1">
        <f t="array" ref="V10">IF(I10="", 0, IF(SUMPRODUCT(--(ISNUMBER(SEARCH(I10, $C$2:$C$33)) + ISNUMBER(SEARCH($C$2:$C$33, I10))))&gt;0, 1, 0))</f>
        <v>1</v>
      </c>
      <c r="W10" s="1" cm="1">
        <f t="array" ref="W10">IF(D10="",0,IF(SUMPRODUCT((ISNUMBER(SEARCH(D10,$C$2:$C$33))+ISNUMBER(SEARCH($C$2:$C$33,D10)))*($B$2:$B$33=$B10))&gt;0,1,0))</f>
        <v>0</v>
      </c>
      <c r="X10" s="1" cm="1">
        <f t="array" ref="X10">IF(E10="",0,IF(SUMPRODUCT((ISNUMBER(SEARCH(E10,$C$2:$C$33))+ISNUMBER(SEARCH($C$2:$C$33,E10)))*($B$2:$B$33=$B10))&gt;0,1,0))</f>
        <v>0</v>
      </c>
      <c r="Y10" s="1" cm="1">
        <f t="array" ref="Y10">IF(F10="",0,IF(SUMPRODUCT((ISNUMBER(SEARCH(F10,$C$2:$C$33))+ISNUMBER(SEARCH($C$2:$C$33,F10)))*($B$2:$B$33=$B10))&gt;0,1,0))</f>
        <v>0</v>
      </c>
      <c r="Z10" s="1" cm="1">
        <f t="array" ref="Z10">IF(G10="",0,IF(SUMPRODUCT((ISNUMBER(SEARCH(G10,$C$2:$C$33))+ISNUMBER(SEARCH($C$2:$C$33,G10)))*($B$2:$B$33=$B10))&gt;0,1,0))</f>
        <v>0</v>
      </c>
      <c r="AA10" s="1" cm="1">
        <f t="array" ref="AA10">IF(H10="",0,IF(SUMPRODUCT((ISNUMBER(SEARCH(H10,$C$2:$C$33))+ISNUMBER(SEARCH($C$2:$C$33,H10)))*($B$2:$B$33=$B10))&gt;0,1,0))</f>
        <v>0</v>
      </c>
      <c r="AB10" s="1" cm="1">
        <f t="array" ref="AB10">IF(I10="",0,IF(SUMPRODUCT((ISNUMBER(SEARCH(I10,$C$2:$C$33))+ISNUMBER(SEARCH($C$2:$C$33,I10)))*($B$2:$B$33=$B10))&gt;0,1,0))</f>
        <v>0</v>
      </c>
      <c r="AC10" s="36" t="s">
        <v>35</v>
      </c>
      <c r="AD10" s="36" t="s">
        <v>41</v>
      </c>
      <c r="AE10" s="36" t="s">
        <v>38</v>
      </c>
      <c r="AF10">
        <f t="shared" si="6"/>
        <v>0</v>
      </c>
      <c r="AG10" cm="1">
        <f t="array" ref="AG10">IF(AC10="",0,IF(SUMPRODUCT((ISNUMBER(SEARCH(AC10,$C$2:$C$33))+ISNUMBER(SEARCH($C$2:$C$33,AC10))))&gt;0,1,0))</f>
        <v>1</v>
      </c>
      <c r="AH10" cm="1">
        <f t="array" ref="AH10">IF(AC10="",0,IF(SUMPRODUCT((ISNUMBER(SEARCH(AC10,$C$2:$C$33))+ISNUMBER(SEARCH($C$2:$C$33,AC10)))*($B$2:$B$33=$B10))&gt;0,1,0))</f>
        <v>0</v>
      </c>
      <c r="AI10">
        <f t="shared" si="7"/>
        <v>0</v>
      </c>
      <c r="AJ10" cm="1">
        <f t="array" ref="AJ10">IF(AD10="",0,IF(SUMPRODUCT((ISNUMBER(SEARCH(AD10,$C$2:$C$33))+ISNUMBER(SEARCH($C$2:$C$33,AD10))))&gt;0,1,0))</f>
        <v>1</v>
      </c>
      <c r="AK10" cm="1">
        <f t="array" ref="AK10">IF(AD10="",0,IF(SUMPRODUCT((ISNUMBER(SEARCH(AD10,$C$2:$C$33))+ISNUMBER(SEARCH($C$2:$C$33,AD10)))*($B$2:$B$33=$B10))&gt;0,1,0))</f>
        <v>0</v>
      </c>
      <c r="AL10">
        <f t="shared" si="8"/>
        <v>0</v>
      </c>
      <c r="AM10" cm="1">
        <f t="array" ref="AM10">IF(AE10="",0,IF(SUMPRODUCT((ISNUMBER(SEARCH(AE10,$C$2:$C$33))+ISNUMBER(SEARCH($C$2:$C$33,AE10))))&gt;0,1,0))</f>
        <v>1</v>
      </c>
      <c r="AN10" cm="1">
        <f t="array" ref="AN10">IF(AE10="",0,IF(SUMPRODUCT((ISNUMBER(SEARCH(AE10,$C$2:$C$33))+ISNUMBER(SEARCH($C$2:$C$33,AE10)))*($B$2:$B$33=$B10))&gt;0,1,0))</f>
        <v>0</v>
      </c>
      <c r="AO10" s="64" t="str" cm="1">
        <f t="array" ref="AO10">_xlfn.LET(_xlpm.raw,'Other analyst '!K10,_xlpm.mockNames,'Colin''s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Mansoor Delane</v>
      </c>
      <c r="AP10">
        <f>IF(OR(AO10="",AO10=0),0,IF(OR(ISNUMBER(SEARCH(AO10,$C10)),ISNUMBER(SEARCH($C10,AO10))),1,0))</f>
        <v>0</v>
      </c>
      <c r="AQ10" cm="1">
        <f t="array" ref="AQ10">IF(OR(AO10="",AO10=0),0,IF(SUMPRODUCT(--(ISNUMBER(SEARCH(AO10,$C$2:$C$33))+ISNUMBER(SEARCH($C$2:$C$33,AO10))))&gt;0,1,0))</f>
        <v>1</v>
      </c>
      <c r="AR10" cm="1">
        <f t="array" ref="AR10">IF(OR(AO10="",AO10=0),0,IF(SUMPRODUCT((ISNUMBER(SEARCH(AO10,$C$2:$C$33))+ISNUMBER(SEARCH($C$2:$C$33,AO10)))*($B$2:$B$33=$B10))&gt;0,1,0))</f>
        <v>0</v>
      </c>
      <c r="AS10" s="64" t="str" cm="1">
        <f t="array" ref="AS10">_xlfn.LET(_xlpm.raw,'Other analyst '!L10,_xlpm.mockNames,'Colin''s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Francis Mauigoa</v>
      </c>
      <c r="AT10">
        <f>IF(OR(AS10="",AS10=0),0,IF(OR(ISNUMBER(SEARCH(AS10,$C10)),ISNUMBER(SEARCH($C10,AS10))),1,0))</f>
        <v>0</v>
      </c>
      <c r="AU10" cm="1">
        <f t="array" ref="AU10">IF(OR(AS10="",AS10=0),0,IF(SUMPRODUCT(--(ISNUMBER(SEARCH(AS10,$C$2:$C$33))+ISNUMBER(SEARCH($C$2:$C$33,AS10))))&gt;0,1,0))</f>
        <v>1</v>
      </c>
      <c r="AV10" cm="1">
        <f t="array" ref="AV10">IF(OR(AS10="",AS10=0),0,IF(SUMPRODUCT((ISNUMBER(SEARCH(AS10,$C$2:$C$33))+ISNUMBER(SEARCH($C$2:$C$33,AS10)))*($B$2:$B$33=$B10))&gt;0,1,0))</f>
        <v>0</v>
      </c>
      <c r="AW10" s="64" t="str" cm="1">
        <f t="array" ref="AW10">_xlfn.LET(_xlpm.raw,'Other analyst '!M10,_xlpm.mockNames,'Colin''s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Mansoor Delane</v>
      </c>
      <c r="AX10">
        <f>IF(OR(AW10="",AW10=0),0,IF(OR(ISNUMBER(SEARCH(AW10,$C10)),ISNUMBER(SEARCH($C10,AW10))),1,0))</f>
        <v>0</v>
      </c>
      <c r="AY10" cm="1">
        <f t="array" ref="AY10">IF(OR(AW10="",AW10=0),0,IF(SUMPRODUCT(--(ISNUMBER(SEARCH(AW10,$C$2:$C$33))+ISNUMBER(SEARCH($C$2:$C$33,AW10))))&gt;0,1,0))</f>
        <v>1</v>
      </c>
      <c r="AZ10" cm="1">
        <f t="array" ref="AZ10">IF(OR(AW10="",AW10=0),0,IF(SUMPRODUCT((ISNUMBER(SEARCH(AW10,$C$2:$C$33))+ISNUMBER(SEARCH($C$2:$C$33,AW10)))*($B$2:$B$33=$B10))&gt;0,1,0))</f>
        <v>0</v>
      </c>
      <c r="BA10" s="64" t="str" cm="1">
        <f t="array" ref="BA10">_xlfn.LET(_xlpm.raw,'Other analyst '!N10,_xlpm.mockNames,'Colin''s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Mansoor Delane</v>
      </c>
      <c r="BB10">
        <f>IF(OR(BA10="",BA10=0),0,IF(OR(ISNUMBER(SEARCH(BA10,$C10)),ISNUMBER(SEARCH($C10,BA10))),1,0))</f>
        <v>0</v>
      </c>
      <c r="BC10" cm="1">
        <f t="array" ref="BC10">IF(OR(BA10="",BA10=0),0,IF(SUMPRODUCT(--(ISNUMBER(SEARCH(BA10,$C$2:$C$33))+ISNUMBER(SEARCH($C$2:$C$33,BA10))))&gt;0,1,0))</f>
        <v>1</v>
      </c>
      <c r="BD10" cm="1">
        <f t="array" ref="BD10">IF(OR(BA10="",BA10=0),0,IF(SUMPRODUCT((ISNUMBER(SEARCH(BA10,$C$2:$C$33))+ISNUMBER(SEARCH($C$2:$C$33,BA10)))*($B$2:$B$33=$B10))&gt;0,1,0))</f>
        <v>0</v>
      </c>
      <c r="BE10" s="64" t="str" cm="1">
        <f t="array" ref="BE10">_xlfn.LET(_xlpm.raw,'Other analyst '!O10,_xlpm.mockNames,'Colin''s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Kenyon Sadiq</v>
      </c>
      <c r="BF10">
        <f>IF(OR(BE10="",BE10=0),0,IF(OR(ISNUMBER(SEARCH(BE10,$C10)),ISNUMBER(SEARCH($C10,BE10))),1,0))</f>
        <v>0</v>
      </c>
      <c r="BG10" cm="1">
        <f t="array" ref="BG10">IF(OR(BE10="",BE10=0),0,IF(SUMPRODUCT(--(ISNUMBER(SEARCH(BE10,$C$2:$C$33))+ISNUMBER(SEARCH($C$2:$C$33,BE10))))&gt;0,1,0))</f>
        <v>1</v>
      </c>
      <c r="BH10" cm="1">
        <f t="array" ref="BH10">IF(OR(BE10="",BE10=0),0,IF(SUMPRODUCT((ISNUMBER(SEARCH(BE10,$C$2:$C$33))+ISNUMBER(SEARCH($C$2:$C$33,BE10)))*($B$2:$B$33=$B10))&gt;0,1,0))</f>
        <v>0</v>
      </c>
      <c r="BI10" s="64" t="str" cm="1">
        <f t="array" ref="BI10">_xlfn.LET(_xlpm.raw,'Other analyst '!P10,_xlpm.mockNames,'Colin''s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Francis Mauigoa</v>
      </c>
      <c r="BJ10">
        <f>IF(OR(BI10="",BI10=0),0,IF(OR(ISNUMBER(SEARCH(BI10,$C10)),ISNUMBER(SEARCH($C10,BI10))),1,0))</f>
        <v>0</v>
      </c>
      <c r="BK10" cm="1">
        <f t="array" ref="BK10">IF(OR(BI10="",BI10=0),0,IF(SUMPRODUCT(--(ISNUMBER(SEARCH(BI10,$C$2:$C$33))+ISNUMBER(SEARCH($C$2:$C$33,BI10))))&gt;0,1,0))</f>
        <v>1</v>
      </c>
      <c r="BL10" cm="1">
        <f t="array" ref="BL10">IF(OR(BI10="",BI10=0),0,IF(SUMPRODUCT((ISNUMBER(SEARCH(BI10,$C$2:$C$33))+ISNUMBER(SEARCH($C$2:$C$33,BI10)))*($B$2:$B$33=$B10))&gt;0,1,0))</f>
        <v>0</v>
      </c>
      <c r="BM10" s="64" t="str" cm="1">
        <f t="array" ref="BM10">_xlfn.LET(_xlpm.raw,'Other analyst '!Q10,_xlpm.mockNames,'Colin''s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Rueben Bain</v>
      </c>
      <c r="BN10">
        <f>IF(OR(BM10="",BM10=0),0,IF(OR(ISNUMBER(SEARCH(BM10,$C10)),ISNUMBER(SEARCH($C10,BM10))),1,0))</f>
        <v>0</v>
      </c>
      <c r="BO10" cm="1">
        <f t="array" ref="BO10">IF(OR(BM10="",BM10=0),0,IF(SUMPRODUCT(--(ISNUMBER(SEARCH(BM10,$C$2:$C$33))+ISNUMBER(SEARCH($C$2:$C$33,BM10))))&gt;0,1,0))</f>
        <v>1</v>
      </c>
      <c r="BP10" cm="1">
        <f t="array" ref="BP10">IF(OR(BM10="",BM10=0),0,IF(SUMPRODUCT((ISNUMBER(SEARCH(BM10,$C$2:$C$33))+ISNUMBER(SEARCH($C$2:$C$33,BM10)))*($B$2:$B$33=$B10))&gt;0,1,0))</f>
        <v>0</v>
      </c>
      <c r="BQ10" s="64" t="str" cm="1">
        <f t="array" ref="BQ10">_xlfn.LET(_xlpm.raw,'Other analyst '!R10,_xlpm.mockNames,'Colin''s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Jordyn Tyson</v>
      </c>
      <c r="BR10">
        <f>IF(OR(BQ10="",BQ10=0),0,IF(OR(ISNUMBER(SEARCH(BQ10,$C10)),ISNUMBER(SEARCH($C10,BQ10))),1,0))</f>
        <v>0</v>
      </c>
      <c r="BS10" cm="1">
        <f t="array" ref="BS10">IF(OR(BQ10="",BQ10=0),0,IF(SUMPRODUCT(--(ISNUMBER(SEARCH(BQ10,$C$2:$C$33))+ISNUMBER(SEARCH($C$2:$C$33,BQ10))))&gt;0,1,0))</f>
        <v>1</v>
      </c>
      <c r="BT10" cm="1">
        <f t="array" ref="BT10">IF(OR(BQ10="",BQ10=0),0,IF(SUMPRODUCT((ISNUMBER(SEARCH(BQ10,$C$2:$C$33))+ISNUMBER(SEARCH($C$2:$C$33,BQ10)))*($B$2:$B$33=$B10))&gt;0,1,0))</f>
        <v>0</v>
      </c>
      <c r="BU10" s="76" t="str">
        <f>'Colin Mock wTrade'!D10</f>
        <v>Mansoor Delane</v>
      </c>
      <c r="BV10">
        <f>IF(BU10="",0,IF(OR(ISNUMBER(SEARCH(BU10,C10)),ISNUMBER(SEARCH(C10,BU10))),1,0))</f>
        <v>0</v>
      </c>
      <c r="BW10" cm="1">
        <f t="array" ref="BW10">IF(BU10="",0,IF(SUMPRODUCT(--(ISNUMBER(SEARCH(BU10,$C$2:$C$33))+ISNUMBER(SEARCH($C$2:$C$33,BU10))))&gt;0,1,0))</f>
        <v>1</v>
      </c>
      <c r="BX10" cm="1">
        <f t="array" ref="BX10">IF(BU10="",0,IFERROR(IF(SUMPRODUCT((ISNUMBER(SEARCH(BU10,$C$2:$C$33))+ISNUMBER(SEARCH($C$2:$C$33,BU10)))*($B$2:$B$33=VLOOKUP('Colin Mock wTrade'!C10,$CA$1:$CB$32,2,FALSE)))&gt;0,1,0),0))</f>
        <v>0</v>
      </c>
      <c r="CA10" t="s">
        <v>40</v>
      </c>
      <c r="CB10" t="s">
        <v>405</v>
      </c>
      <c r="CC10" t="str">
        <f>'Other analyst '!S10</f>
        <v>Rueben Bain Jr.</v>
      </c>
      <c r="CD10">
        <f t="shared" si="9"/>
        <v>0</v>
      </c>
      <c r="CE10" cm="1">
        <f t="array" ref="CE10">IF(CC10="",0,IF(SUMPRODUCT(--(ISNUMBER(SEARCH(CC10,$C$2:$C$33))+ISNUMBER(SEARCH($C$2:$C$33,CC10))))&gt;0,1,0))</f>
        <v>1</v>
      </c>
      <c r="CF10" cm="1">
        <f t="array" ref="CF10">IF(CC10="",0,IF(SUMPRODUCT((ISNUMBER(SEARCH(CC10,$C$2:$C$33))+ISNUMBER(SEARCH($C$2:$C$33,CC10)))*($B$2:$B$33=$B10))&gt;0,1,0))</f>
        <v>0</v>
      </c>
      <c r="CG10" t="str">
        <f>'Other analyst '!T10</f>
        <v>Rueben Bain Jr.</v>
      </c>
      <c r="CH10">
        <f t="shared" si="10"/>
        <v>0</v>
      </c>
      <c r="CI10" cm="1">
        <f t="array" ref="CI10">IF(CG10="",0,IF(SUMPRODUCT(--(ISNUMBER(SEARCH(CG10,$C$2:$C$33))+ISNUMBER(SEARCH($C$2:$C$33,CG10))))&gt;0,1,0))</f>
        <v>1</v>
      </c>
      <c r="CJ10" cm="1">
        <f t="array" ref="CJ10">IF(CG10="",0,IF(SUMPRODUCT((ISNUMBER(SEARCH(CG10,$C$2:$C$33))+ISNUMBER(SEARCH($C$2:$C$33,CG10)))*($B$2:$B$33=$B10))&gt;0,1,0))</f>
        <v>0</v>
      </c>
      <c r="CK10" t="str">
        <f>'Other analyst '!U10</f>
        <v>Caleb Downs</v>
      </c>
      <c r="CL10">
        <f t="shared" si="11"/>
        <v>0</v>
      </c>
      <c r="CM10" cm="1">
        <f t="array" ref="CM10">IF(CK10="",0,IF(SUMPRODUCT(--(ISNUMBER(SEARCH(CK10,$C$2:$C$33))+ISNUMBER(SEARCH($C$2:$C$33,CK10))))&gt;0,1,0))</f>
        <v>1</v>
      </c>
      <c r="CN10" cm="1">
        <f t="array" ref="CN10">IF(CK10="",0,IF(SUMPRODUCT((ISNUMBER(SEARCH(CK10,$C$2:$C$33))+ISNUMBER(SEARCH($C$2:$C$33,CK10)))*($B$2:$B$33=$B10))&gt;0,1,0))</f>
        <v>0</v>
      </c>
      <c r="CO10" t="str">
        <f>'Other analyst '!V10</f>
        <v>Leonard Moore</v>
      </c>
      <c r="CP10">
        <f t="shared" si="12"/>
        <v>0</v>
      </c>
      <c r="CQ10" cm="1">
        <f t="array" ref="CQ10">IF(CO10="",0,IF(SUMPRODUCT(--(ISNUMBER(SEARCH(CO10,$C$2:$C$33))+ISNUMBER(SEARCH($C$2:$C$33,CO10))))&gt;0,1,0))</f>
        <v>0</v>
      </c>
      <c r="CR10" cm="1">
        <f t="array" ref="CR10">IF(CO10="",0,IF(SUMPRODUCT((ISNUMBER(SEARCH(CO10,$C$2:$C$33))+ISNUMBER(SEARCH($C$2:$C$33,CO10)))*($B$2:$B$33=$B10))&gt;0,1,0))</f>
        <v>0</v>
      </c>
      <c r="CS10" s="78" t="str">
        <f>'Other analyst '!W10</f>
        <v>Mansoor Delane</v>
      </c>
      <c r="CT10">
        <f t="shared" si="13"/>
        <v>0</v>
      </c>
      <c r="CU10" cm="1">
        <f t="array" ref="CU10">IF(CS10="",0,IF(SUMPRODUCT(--(ISNUMBER(SEARCH(CS10,$C$2:$C$33))+ISNUMBER(SEARCH($C$2:$C$33,CS10))))&gt;0,1,0))</f>
        <v>1</v>
      </c>
      <c r="CV10" cm="1">
        <f t="array" ref="CV10">IF(CS10="",0,IFERROR(IF(SUMPRODUCT((ISNUMBER(SEARCH(CS10,$C$2:$C$33))+ISNUMBER(SEARCH($C$2:$C$33,CS10)))*(ISNUMBER(SEARCH($B$2:$B$33,'Other analyst '!B10))+ISNUMBER(SEARCH('Other analyst '!B10,$B$2:$B$33))))&gt;0,1,0),0))</f>
        <v>1</v>
      </c>
      <c r="CW10" s="36" t="str">
        <f>'Other analyst '!AD10</f>
        <v>Spencer Fano</v>
      </c>
      <c r="CX10">
        <f t="shared" si="14"/>
        <v>1</v>
      </c>
      <c r="CY10" cm="1">
        <f t="array" ref="CY10">IF(CW10="",0,IF(SUMPRODUCT(--(ISNUMBER(SEARCH(CW10,$C$2:$C$33))+ISNUMBER(SEARCH($C$2:$C$33,CW10))))&gt;0,1,0))</f>
        <v>1</v>
      </c>
      <c r="CZ10" cm="1">
        <f t="array" ref="CZ10">IF(CW10="",0,IF(SUMPRODUCT((ISNUMBER(SEARCH(CW10,$C$2:$C$33))+ISNUMBER(SEARCH($C$2:$C$33,CW10)))*($B$2:$B$33=$B10))&gt;0,1,0))</f>
        <v>1</v>
      </c>
      <c r="DA10" s="36" t="str">
        <f>'Other analyst '!AE10</f>
        <v>Rueben Bain Jr.</v>
      </c>
      <c r="DB10">
        <f t="shared" si="15"/>
        <v>0</v>
      </c>
      <c r="DC10" cm="1">
        <f t="array" ref="DC10">IF(DA10="",0,IF(SUMPRODUCT(--(ISNUMBER(SEARCH(DA10,$C$2:$C$33))+ISNUMBER(SEARCH($C$2:$C$33,DA10))))&gt;0,1,0))</f>
        <v>1</v>
      </c>
      <c r="DD10" cm="1">
        <f t="array" ref="DD10">IF(DA10="",0,IF(SUMPRODUCT((ISNUMBER(SEARCH(DA10,$C$2:$C$33))+ISNUMBER(SEARCH($C$2:$C$33,DA10)))*($B$2:$B$33=$B10))&gt;0,1,0))</f>
        <v>0</v>
      </c>
      <c r="DE10" s="36" t="str">
        <f>'Other analyst '!AF10</f>
        <v>Spencer Fano</v>
      </c>
      <c r="DF10">
        <f t="shared" si="16"/>
        <v>1</v>
      </c>
      <c r="DG10" cm="1">
        <f t="array" ref="DG10">IF(DE10="",0,IF(SUMPRODUCT(--(ISNUMBER(SEARCH(DE10,$C$2:$C$33))+ISNUMBER(SEARCH($C$2:$C$33,DE10))))&gt;0,1,0))</f>
        <v>1</v>
      </c>
      <c r="DH10" cm="1">
        <f t="array" ref="DH10">IF(DE10="",0,IF(SUMPRODUCT((ISNUMBER(SEARCH(DE10,$C$2:$C$33))+ISNUMBER(SEARCH($C$2:$C$33,DE10)))*($B$2:$B$33=$B10))&gt;0,1,0))</f>
        <v>1</v>
      </c>
      <c r="DI10" s="36" t="str">
        <f>'Other analyst '!AG10</f>
        <v>Rueben Bain Jr.</v>
      </c>
      <c r="DJ10">
        <f t="shared" si="17"/>
        <v>0</v>
      </c>
      <c r="DK10" cm="1">
        <f t="array" ref="DK10">IF(DI10="",0,IF(SUMPRODUCT(--(ISNUMBER(SEARCH(DI10,$C$2:$C$33))+ISNUMBER(SEARCH($C$2:$C$33,DI10))))&gt;0,1,0))</f>
        <v>1</v>
      </c>
      <c r="DL10" cm="1">
        <f t="array" ref="DL10">IF(DI10="",0,IF(SUMPRODUCT((ISNUMBER(SEARCH(DI10,$C$2:$C$33))+ISNUMBER(SEARCH($C$2:$C$33,DI10)))*($B$2:$B$33=$B10))&gt;0,1,0))</f>
        <v>0</v>
      </c>
      <c r="DM10" s="36" t="str">
        <f>'Other analyst '!AB10</f>
        <v>Rueben Bain Jr.</v>
      </c>
      <c r="DN10">
        <f t="shared" si="18"/>
        <v>0</v>
      </c>
      <c r="DO10" cm="1">
        <f t="array" ref="DO10">IF(DM10="",0,IF(SUMPRODUCT(--(ISNUMBER(SEARCH(DM10,$C$2:$C$33))+ISNUMBER(SEARCH($C$2:$C$33,DM10))))&gt;0,1,0))</f>
        <v>1</v>
      </c>
      <c r="DP10" cm="1">
        <f t="array" ref="DP10">IF(DM10="",0,IFERROR(IF(SUMPRODUCT((ISNUMBER(SEARCH(DM10,$C$2:$C$33))+ISNUMBER(SEARCH($C$2:$C$33,DM10)))*(ISNUMBER(SEARCH($B$2:$B$33,'Other analyst '!B10))+ISNUMBER(SEARCH('Other analyst '!B10,$B$2:$B$33))))&gt;0,1,0),0))</f>
        <v>0</v>
      </c>
      <c r="DQ10" s="78" t="str">
        <f>'Other analyst '!AC10</f>
        <v>Mansoor Delane</v>
      </c>
      <c r="DR10">
        <f t="shared" si="19"/>
        <v>0</v>
      </c>
      <c r="DS10" cm="1">
        <f t="array" ref="DS10">IF(DQ10="",0,IF(SUMPRODUCT(--(ISNUMBER(SEARCH(DQ10,$C$2:$C$33))+ISNUMBER(SEARCH($C$2:$C$33,DQ10))))&gt;0,1,0))</f>
        <v>1</v>
      </c>
      <c r="DT10" cm="1">
        <f t="array" ref="DT10">IF(DQ10="",0,IFERROR(IF(SUMPRODUCT((ISNUMBER(SEARCH(DQ10,$C$2:$C$33))+ISNUMBER(SEARCH($C$2:$C$33,DQ10)))*(ISNUMBER(SEARCH($B$2:$B$33,'Other analyst '!B10))+ISNUMBER(SEARCH('Other analyst '!B10,$B$2:$B$33))))&gt;0,1,0),0))</f>
        <v>1</v>
      </c>
      <c r="DU10" t="str">
        <f>IFERROR(TRIM(LEFT(IF(ISNUMBER(SEARCH("]",'Other analyst '!X10)),MID('Other analyst '!X10,SEARCH("]",'Other analyst '!X10)+1,200),'Other analyst '!X10),IFERROR(SEARCH(" (",IF(ISNUMBER(SEARCH("]",'Other analyst '!X10)),MID('Other analyst '!X10,SEARCH("]",'Other analyst '!X10)+1,200),'Other analyst '!X10))-1,LEN('Other analyst '!X10)))),"")</f>
        <v>Rueben Bain Jr.</v>
      </c>
      <c r="DV10">
        <f>IF(DU10="",0,IF(OR(ISNUMBER(SEARCH(DU10,C10)),ISNUMBER(SEARCH(C10,DU10))),1,0))</f>
        <v>0</v>
      </c>
      <c r="DW10" cm="1">
        <f t="array" ref="DW10">IF(DU10="",0,IF(SUMPRODUCT((ISNUMBER(SEARCH(DU10,$C$2:$C$33))+ISNUMBER(SEARCH($C$2:$C$33,DU10))))&gt;0,1,0))</f>
        <v>1</v>
      </c>
      <c r="DX10">
        <v>0</v>
      </c>
      <c r="DY10" t="str">
        <f>IFERROR(TRIM(LEFT(IF(ISNUMBER(SEARCH("]",'Other analyst '!Y10)),MID('Other analyst '!Y10,SEARCH("]",'Other analyst '!Y10)+1,200),'Other analyst '!Y10),IFERROR(SEARCH(" (",IF(ISNUMBER(SEARCH("]",'Other analyst '!Y10)),MID('Other analyst '!Y10,SEARCH("]",'Other analyst '!Y10)+1,200),'Other analyst '!Y10))-1,LEN('Other analyst '!Y10)))),"")</f>
        <v>Rueben Bain Jr.</v>
      </c>
      <c r="DZ10">
        <f>IF(DY10="",0,IF(OR(ISNUMBER(SEARCH(DY10,C10)),ISNUMBER(SEARCH(C10,DY10))),1,0))</f>
        <v>0</v>
      </c>
      <c r="EA10" cm="1">
        <f t="array" ref="EA10">IF(DY10="",0,IF(SUMPRODUCT((ISNUMBER(SEARCH(DY10,$C$2:$C$33))+ISNUMBER(SEARCH($C$2:$C$33,DY10))))&gt;0,1,0))</f>
        <v>1</v>
      </c>
      <c r="EB10">
        <v>0</v>
      </c>
      <c r="EC10" t="str">
        <f>IFERROR(TRIM(LEFT(IF(ISNUMBER(SEARCH("]",'Other analyst '!Z10)),MID('Other analyst '!Z10,SEARCH("]",'Other analyst '!Z10)+1,200),'Other analyst '!Z10),IFERROR(SEARCH(" (",IF(ISNUMBER(SEARCH("]",'Other analyst '!Z10)),MID('Other analyst '!Z10,SEARCH("]",'Other analyst '!Z10)+1,200),'Other analyst '!Z10))-1,LEN('Other analyst '!Z10)))),"")</f>
        <v>Kadyn Proctor</v>
      </c>
      <c r="ED10">
        <f>IF(EC10="",0,IF(OR(ISNUMBER(SEARCH(EC10,C10)),ISNUMBER(SEARCH(C10,EC10))),1,0))</f>
        <v>0</v>
      </c>
      <c r="EE10" cm="1">
        <f t="array" ref="EE10">IF(EC10="",0,IF(SUMPRODUCT((ISNUMBER(SEARCH(EC10,$C$2:$C$33))+ISNUMBER(SEARCH($C$2:$C$33,EC10))))&gt;0,1,0))</f>
        <v>1</v>
      </c>
      <c r="EF10">
        <v>0</v>
      </c>
      <c r="EG10" t="str">
        <f>IFERROR(TRIM(LEFT(IF(ISNUMBER(SEARCH("]",'Other analyst '!AA10)),MID('Other analyst '!AA10,SEARCH("]",'Other analyst '!AA10)+1,200),'Other analyst '!AA10),IFERROR(SEARCH(" (",IF(ISNUMBER(SEARCH("]",'Other analyst '!AA10)),MID('Other analyst '!AA10,SEARCH("]",'Other analyst '!AA10)+1,200),'Other analyst '!AA10))-1,LEN('Other analyst '!AA10)))),"")</f>
        <v>Rueben Bain Jr.</v>
      </c>
      <c r="EH10">
        <f>IF(EG10="",0,IF(OR(ISNUMBER(SEARCH(EG10,C10)),ISNUMBER(SEARCH(C10,EG10))),1,0))</f>
        <v>0</v>
      </c>
      <c r="EI10" cm="1">
        <f t="array" ref="EI10">IF(EG10="",0,IF(SUMPRODUCT((ISNUMBER(SEARCH(EG10,$C$2:$C$33))+ISNUMBER(SEARCH($C$2:$C$33,EG10))))&gt;0,1,0))</f>
        <v>1</v>
      </c>
      <c r="EJ10">
        <v>0</v>
      </c>
      <c r="EK10">
        <f>K10+L10+M10+N10+O10+P10+AF10+AI10+AL10+AP10+AT10+AX10+BB10+BF10+BJ10+BN10+BR10+BV10+CD10+CH10+CL10+CP10+CT10+DV10+DZ10+ED10+EH10+DN10+DR10+CX10+DB10+DF10+DJ10</f>
        <v>2</v>
      </c>
    </row>
    <row r="11" spans="1:141">
      <c r="A11" s="30">
        <v>10</v>
      </c>
      <c r="B11" s="30" t="str">
        <f>'Actual nfl first round'!C11</f>
        <v>Giants</v>
      </c>
      <c r="C11" s="31" t="str" cm="1">
        <f t="array" ref="C11">_xlfn.LET(_xlpm.actual, 'Actual nfl first round'!D11,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Francis Mauigoa</v>
      </c>
      <c r="D11" s="32" t="str">
        <f>'Colin''s Mock'!D11</f>
        <v>Caleb Downs</v>
      </c>
      <c r="E11" s="32" t="str">
        <f>_xlfn.LET(_xlpm.raw, 'Other analyst '!C11, _xlpm.s, IF(LEFT(_xlpm.raw,1)="[", MID(_xlpm.raw, FIND("] ",_xlpm.raw)+2, 999), _xlpm.raw), IFERROR(TRIM(LEFT(_xlpm.s, FIND(" (",_xlpm.s)-1)), _xlpm.raw))</f>
        <v>Olaivavega Ioane</v>
      </c>
      <c r="F11" s="32" t="str">
        <f>_xlfn.LET(_xlpm.raw, 'Other analyst '!D11, _xlpm.s, IF(LEFT(_xlpm.raw,1)="[", MID(_xlpm.raw, FIND("] ",_xlpm.raw)+2, 999), _xlpm.raw), IFERROR(TRIM(LEFT(_xlpm.s, FIND(" (",_xlpm.s)-1)), _xlpm.raw))</f>
        <v>Francis Mauigoa</v>
      </c>
      <c r="G11" s="32" t="str">
        <f>_xlfn.LET(_xlpm.raw, 'Other analyst '!E11, _xlpm.s, IF(LEFT(_xlpm.raw,1)="[", MID(_xlpm.raw, FIND("] ",_xlpm.raw)+2, 999), _xlpm.raw), IFERROR(TRIM(LEFT(_xlpm.s, FIND(" (",_xlpm.s)-1)), _xlpm.raw))</f>
        <v>Jordyn Tyson</v>
      </c>
      <c r="H11" s="32" t="str">
        <f>_xlfn.LET(_xlpm.raw, 'Other analyst '!F11, _xlpm.s, IF(LEFT(_xlpm.raw,1)="[", MID(_xlpm.raw, FIND("] ",_xlpm.raw)+2, 999), _xlpm.raw), IFERROR(TRIM(LEFT(_xlpm.s, FIND(" (",_xlpm.s)-1)), _xlpm.raw))</f>
        <v>Caleb Downs</v>
      </c>
      <c r="I11" s="32" t="str">
        <f>_xlfn.LET(_xlpm.raw, 'Other analyst '!G11, _xlpm.s, IF(LEFT(_xlpm.raw,1)="[", MID(_xlpm.raw, FIND("] ",_xlpm.raw)+2, 999), _xlpm.raw), IFERROR(TRIM(LEFT(_xlpm.s, FIND(" (",_xlpm.s)-1)), _xlpm.raw))</f>
        <v>Caleb Downs</v>
      </c>
      <c r="K11" s="1">
        <f t="shared" si="0"/>
        <v>0</v>
      </c>
      <c r="L11" s="1">
        <f t="shared" si="1"/>
        <v>0</v>
      </c>
      <c r="M11" s="1">
        <f t="shared" si="2"/>
        <v>1</v>
      </c>
      <c r="N11" s="1">
        <f t="shared" si="3"/>
        <v>0</v>
      </c>
      <c r="O11" s="1">
        <f t="shared" si="4"/>
        <v>0</v>
      </c>
      <c r="P11" s="1">
        <f t="shared" si="5"/>
        <v>0</v>
      </c>
      <c r="Q11" s="1" cm="1">
        <f t="array" ref="Q11">IF(D11="", 0, IF(SUMPRODUCT(--(ISNUMBER(SEARCH(D11, $C$2:$C$33)) + ISNUMBER(SEARCH($C$2:$C$33, D11))))&gt;0, 1, 0))</f>
        <v>1</v>
      </c>
      <c r="R11" s="1" cm="1">
        <f t="array" ref="R11">IF(E11="", 0, IF(SUMPRODUCT(--(ISNUMBER(SEARCH(E11, $C$2:$C$33)) + ISNUMBER(SEARCH($C$2:$C$33, E11))))&gt;0, 1, 0))</f>
        <v>1</v>
      </c>
      <c r="S11" s="1" cm="1">
        <f t="array" ref="S11">IF(F11="", 0, IF(SUMPRODUCT(--(ISNUMBER(SEARCH(F11, $C$2:$C$33)) + ISNUMBER(SEARCH($C$2:$C$33, F11))))&gt;0, 1, 0))</f>
        <v>1</v>
      </c>
      <c r="T11" s="1" cm="1">
        <f t="array" ref="T11">IF(G11="", 0, IF(SUMPRODUCT(--(ISNUMBER(SEARCH(G11, $C$2:$C$33)) + ISNUMBER(SEARCH($C$2:$C$33, G11))))&gt;0, 1, 0))</f>
        <v>1</v>
      </c>
      <c r="U11" s="1" cm="1">
        <f t="array" ref="U11">IF(H11="", 0, IF(SUMPRODUCT(--(ISNUMBER(SEARCH(H11, $C$2:$C$33)) + ISNUMBER(SEARCH($C$2:$C$33, H11))))&gt;0, 1, 0))</f>
        <v>1</v>
      </c>
      <c r="V11" s="1" cm="1">
        <f t="array" ref="V11">IF(I11="", 0, IF(SUMPRODUCT(--(ISNUMBER(SEARCH(I11, $C$2:$C$33)) + ISNUMBER(SEARCH($C$2:$C$33, I11))))&gt;0, 1, 0))</f>
        <v>1</v>
      </c>
      <c r="W11" s="1" cm="1">
        <f t="array" ref="W11">IF(D11="",0,IF(SUMPRODUCT((ISNUMBER(SEARCH(D11,$C$2:$C$33))+ISNUMBER(SEARCH($C$2:$C$33,D11)))*($B$2:$B$33=$B11))&gt;0,1,0))</f>
        <v>0</v>
      </c>
      <c r="X11" s="1" cm="1">
        <f t="array" ref="X11">IF(E11="",0,IF(SUMPRODUCT((ISNUMBER(SEARCH(E11,$C$2:$C$33))+ISNUMBER(SEARCH($C$2:$C$33,E11)))*($B$2:$B$33=$B11))&gt;0,1,0))</f>
        <v>0</v>
      </c>
      <c r="Y11" s="1" cm="1">
        <f t="array" ref="Y11">IF(F11="",0,IF(SUMPRODUCT((ISNUMBER(SEARCH(F11,$C$2:$C$33))+ISNUMBER(SEARCH($C$2:$C$33,F11)))*($B$2:$B$33=$B11))&gt;0,1,0))</f>
        <v>1</v>
      </c>
      <c r="Z11" s="1" cm="1">
        <f t="array" ref="Z11">IF(G11="",0,IF(SUMPRODUCT((ISNUMBER(SEARCH(G11,$C$2:$C$33))+ISNUMBER(SEARCH($C$2:$C$33,G11)))*($B$2:$B$33=$B11))&gt;0,1,0))</f>
        <v>0</v>
      </c>
      <c r="AA11" s="1" cm="1">
        <f t="array" ref="AA11">IF(H11="",0,IF(SUMPRODUCT((ISNUMBER(SEARCH(H11,$C$2:$C$33))+ISNUMBER(SEARCH($C$2:$C$33,H11)))*($B$2:$B$33=$B11))&gt;0,1,0))</f>
        <v>0</v>
      </c>
      <c r="AB11" s="1" cm="1">
        <f t="array" ref="AB11">IF(I11="",0,IF(SUMPRODUCT((ISNUMBER(SEARCH(I11,$C$2:$C$33))+ISNUMBER(SEARCH($C$2:$C$33,I11)))*($B$2:$B$33=$B11))&gt;0,1,0))</f>
        <v>0</v>
      </c>
      <c r="AC11" s="36" t="s">
        <v>30</v>
      </c>
      <c r="AD11" s="35" t="s">
        <v>26</v>
      </c>
      <c r="AE11" s="28" t="s">
        <v>62</v>
      </c>
      <c r="AF11">
        <f t="shared" si="6"/>
        <v>0</v>
      </c>
      <c r="AG11" cm="1">
        <f t="array" ref="AG11">IF(AC11="",0,IF(SUMPRODUCT((ISNUMBER(SEARCH(AC11,$C$2:$C$33))+ISNUMBER(SEARCH($C$2:$C$33,AC11))))&gt;0,1,0))</f>
        <v>1</v>
      </c>
      <c r="AH11" cm="1">
        <f t="array" ref="AH11">IF(AC11="",0,IF(SUMPRODUCT((ISNUMBER(SEARCH(AC11,$C$2:$C$33))+ISNUMBER(SEARCH($C$2:$C$33,AC11)))*($B$2:$B$33=$B11))&gt;0,1,0))</f>
        <v>0</v>
      </c>
      <c r="AI11">
        <f t="shared" si="7"/>
        <v>1</v>
      </c>
      <c r="AJ11" cm="1">
        <f t="array" ref="AJ11">IF(AD11="",0,IF(SUMPRODUCT((ISNUMBER(SEARCH(AD11,$C$2:$C$33))+ISNUMBER(SEARCH($C$2:$C$33,AD11))))&gt;0,1,0))</f>
        <v>1</v>
      </c>
      <c r="AK11" cm="1">
        <f t="array" ref="AK11">IF(AD11="",0,IF(SUMPRODUCT((ISNUMBER(SEARCH(AD11,$C$2:$C$33))+ISNUMBER(SEARCH($C$2:$C$33,AD11)))*($B$2:$B$33=$B11))&gt;0,1,0))</f>
        <v>1</v>
      </c>
      <c r="AL11">
        <f t="shared" si="8"/>
        <v>0</v>
      </c>
      <c r="AM11" cm="1">
        <f t="array" ref="AM11">IF(AE11="",0,IF(SUMPRODUCT((ISNUMBER(SEARCH(AE11,$C$2:$C$33))+ISNUMBER(SEARCH($C$2:$C$33,AE11))))&gt;0,1,0))</f>
        <v>0</v>
      </c>
      <c r="AN11" cm="1">
        <f t="array" ref="AN11">IF(AE11="",0,IF(SUMPRODUCT((ISNUMBER(SEARCH(AE11,$C$2:$C$33))+ISNUMBER(SEARCH($C$2:$C$33,AE11)))*($B$2:$B$33=$B11))&gt;0,1,0))</f>
        <v>0</v>
      </c>
      <c r="AO11" s="64" t="str" cm="1">
        <f t="array" ref="AO11">_xlfn.LET(_xlpm.raw,'Other analyst '!K11,_xlpm.mockNames,'Colin''s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Downs</v>
      </c>
      <c r="AP11">
        <f>IF(OR(AO11="",AO11=0),0,IF(OR(ISNUMBER(SEARCH(AO11,$C11)),ISNUMBER(SEARCH($C11,AO11))),1,0))</f>
        <v>0</v>
      </c>
      <c r="AQ11" cm="1">
        <f t="array" ref="AQ11">IF(OR(AO11="",AO11=0),0,IF(SUMPRODUCT(--(ISNUMBER(SEARCH(AO11,$C$2:$C$33))+ISNUMBER(SEARCH($C$2:$C$33,AO11))))&gt;0,1,0))</f>
        <v>1</v>
      </c>
      <c r="AR11" cm="1">
        <f t="array" ref="AR11">IF(OR(AO11="",AO11=0),0,IF(SUMPRODUCT((ISNUMBER(SEARCH(AO11,$C$2:$C$33))+ISNUMBER(SEARCH($C$2:$C$33,AO11)))*($B$2:$B$33=$B11))&gt;0,1,0))</f>
        <v>0</v>
      </c>
      <c r="AS11" s="64" t="str" cm="1">
        <f t="array" ref="AS11">_xlfn.LET(_xlpm.raw,'Other analyst '!L11,_xlpm.mockNames,'Colin''s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Keldric Faulk</v>
      </c>
      <c r="AT11">
        <f>IF(OR(AS11="",AS11=0),0,IF(OR(ISNUMBER(SEARCH(AS11,$C11)),ISNUMBER(SEARCH($C11,AS11))),1,0))</f>
        <v>0</v>
      </c>
      <c r="AU11" cm="1">
        <f t="array" ref="AU11">IF(OR(AS11="",AS11=0),0,IF(SUMPRODUCT(--(ISNUMBER(SEARCH(AS11,$C$2:$C$33))+ISNUMBER(SEARCH($C$2:$C$33,AS11))))&gt;0,1,0))</f>
        <v>1</v>
      </c>
      <c r="AV11" cm="1">
        <f t="array" ref="AV11">IF(OR(AS11="",AS11=0),0,IF(SUMPRODUCT((ISNUMBER(SEARCH(AS11,$C$2:$C$33))+ISNUMBER(SEARCH($C$2:$C$33,AS11)))*($B$2:$B$33=$B11))&gt;0,1,0))</f>
        <v>0</v>
      </c>
      <c r="AW11" s="17" t="str" cm="1">
        <f t="array" ref="AW11">_xlfn.LET(_xlpm.raw,'Other analyst '!M11,_xlpm.mockNames,'Colin''s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Francis Mauigoa</v>
      </c>
      <c r="AX11">
        <f>IF(OR(AW11="",AW11=0),0,IF(OR(ISNUMBER(SEARCH(AW11,$C11)),ISNUMBER(SEARCH($C11,AW11))),1,0))</f>
        <v>1</v>
      </c>
      <c r="AY11" cm="1">
        <f t="array" ref="AY11">IF(OR(AW11="",AW11=0),0,IF(SUMPRODUCT(--(ISNUMBER(SEARCH(AW11,$C$2:$C$33))+ISNUMBER(SEARCH($C$2:$C$33,AW11))))&gt;0,1,0))</f>
        <v>1</v>
      </c>
      <c r="AZ11" cm="1">
        <f t="array" ref="AZ11">IF(OR(AW11="",AW11=0),0,IF(SUMPRODUCT((ISNUMBER(SEARCH(AW11,$C$2:$C$33))+ISNUMBER(SEARCH($C$2:$C$33,AW11)))*($B$2:$B$33=$B11))&gt;0,1,0))</f>
        <v>1</v>
      </c>
      <c r="BA11" s="17" t="str" cm="1">
        <f t="array" ref="BA11">_xlfn.LET(_xlpm.raw,'Other analyst '!N11,_xlpm.mockNames,'Colin''s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Francis Mauigoa</v>
      </c>
      <c r="BB11">
        <f>IF(OR(BA11="",BA11=0),0,IF(OR(ISNUMBER(SEARCH(BA11,$C11)),ISNUMBER(SEARCH($C11,BA11))),1,0))</f>
        <v>1</v>
      </c>
      <c r="BC11" cm="1">
        <f t="array" ref="BC11">IF(OR(BA11="",BA11=0),0,IF(SUMPRODUCT(--(ISNUMBER(SEARCH(BA11,$C$2:$C$33))+ISNUMBER(SEARCH($C$2:$C$33,BA11))))&gt;0,1,0))</f>
        <v>1</v>
      </c>
      <c r="BD11" cm="1">
        <f t="array" ref="BD11">IF(OR(BA11="",BA11=0),0,IF(SUMPRODUCT((ISNUMBER(SEARCH(BA11,$C$2:$C$33))+ISNUMBER(SEARCH($C$2:$C$33,BA11)))*($B$2:$B$33=$B11))&gt;0,1,0))</f>
        <v>1</v>
      </c>
      <c r="BE11" s="64" t="str" cm="1">
        <f t="array" ref="BE11">_xlfn.LET(_xlpm.raw,'Other analyst '!O11,_xlpm.mockNames,'Colin''s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Downs</v>
      </c>
      <c r="BF11">
        <f>IF(OR(BE11="",BE11=0),0,IF(OR(ISNUMBER(SEARCH(BE11,$C11)),ISNUMBER(SEARCH($C11,BE11))),1,0))</f>
        <v>0</v>
      </c>
      <c r="BG11" cm="1">
        <f t="array" ref="BG11">IF(OR(BE11="",BE11=0),0,IF(SUMPRODUCT(--(ISNUMBER(SEARCH(BE11,$C$2:$C$33))+ISNUMBER(SEARCH($C$2:$C$33,BE11))))&gt;0,1,0))</f>
        <v>1</v>
      </c>
      <c r="BH11" cm="1">
        <f t="array" ref="BH11">IF(OR(BE11="",BE11=0),0,IF(SUMPRODUCT((ISNUMBER(SEARCH(BE11,$C$2:$C$33))+ISNUMBER(SEARCH($C$2:$C$33,BE11)))*($B$2:$B$33=$B11))&gt;0,1,0))</f>
        <v>0</v>
      </c>
      <c r="BI11" s="64" t="str" cm="1">
        <f t="array" ref="BI11">_xlfn.LET(_xlpm.raw,'Other analyst '!P11,_xlpm.mockNames,'Colin''s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Downs</v>
      </c>
      <c r="BJ11">
        <f>IF(OR(BI11="",BI11=0),0,IF(OR(ISNUMBER(SEARCH(BI11,$C11)),ISNUMBER(SEARCH($C11,BI11))),1,0))</f>
        <v>0</v>
      </c>
      <c r="BK11" cm="1">
        <f t="array" ref="BK11">IF(OR(BI11="",BI11=0),0,IF(SUMPRODUCT(--(ISNUMBER(SEARCH(BI11,$C$2:$C$33))+ISNUMBER(SEARCH($C$2:$C$33,BI11))))&gt;0,1,0))</f>
        <v>1</v>
      </c>
      <c r="BL11" cm="1">
        <f t="array" ref="BL11">IF(OR(BI11="",BI11=0),0,IF(SUMPRODUCT((ISNUMBER(SEARCH(BI11,$C$2:$C$33))+ISNUMBER(SEARCH($C$2:$C$33,BI11)))*($B$2:$B$33=$B11))&gt;0,1,0))</f>
        <v>0</v>
      </c>
      <c r="BM11" s="64" t="str" cm="1">
        <f t="array" ref="BM11">_xlfn.LET(_xlpm.raw,'Other analyst '!Q11,_xlpm.mockNames,'Colin''s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Downs</v>
      </c>
      <c r="BN11">
        <f>IF(OR(BM11="",BM11=0),0,IF(OR(ISNUMBER(SEARCH(BM11,$C11)),ISNUMBER(SEARCH($C11,BM11))),1,0))</f>
        <v>0</v>
      </c>
      <c r="BO11" cm="1">
        <f t="array" ref="BO11">IF(OR(BM11="",BM11=0),0,IF(SUMPRODUCT(--(ISNUMBER(SEARCH(BM11,$C$2:$C$33))+ISNUMBER(SEARCH($C$2:$C$33,BM11))))&gt;0,1,0))</f>
        <v>1</v>
      </c>
      <c r="BP11" cm="1">
        <f t="array" ref="BP11">IF(OR(BM11="",BM11=0),0,IF(SUMPRODUCT((ISNUMBER(SEARCH(BM11,$C$2:$C$33))+ISNUMBER(SEARCH($C$2:$C$33,BM11)))*($B$2:$B$33=$B11))&gt;0,1,0))</f>
        <v>0</v>
      </c>
      <c r="BQ11" s="17" t="str" cm="1">
        <f t="array" ref="BQ11">_xlfn.LET(_xlpm.raw,'Other analyst '!R11,_xlpm.mockNames,'Colin''s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Francis Mauigoa</v>
      </c>
      <c r="BR11">
        <f>IF(OR(BQ11="",BQ11=0),0,IF(OR(ISNUMBER(SEARCH(BQ11,$C11)),ISNUMBER(SEARCH($C11,BQ11))),1,0))</f>
        <v>1</v>
      </c>
      <c r="BS11" cm="1">
        <f t="array" ref="BS11">IF(OR(BQ11="",BQ11=0),0,IF(SUMPRODUCT(--(ISNUMBER(SEARCH(BQ11,$C$2:$C$33))+ISNUMBER(SEARCH($C$2:$C$33,BQ11))))&gt;0,1,0))</f>
        <v>1</v>
      </c>
      <c r="BT11" cm="1">
        <f t="array" ref="BT11">IF(OR(BQ11="",BQ11=0),0,IF(SUMPRODUCT((ISNUMBER(SEARCH(BQ11,$C$2:$C$33))+ISNUMBER(SEARCH($C$2:$C$33,BQ11)))*($B$2:$B$33=$B11))&gt;0,1,0))</f>
        <v>1</v>
      </c>
      <c r="BU11" s="76" t="str">
        <f>'Colin Mock wTrade'!D11</f>
        <v>Caleb Downs</v>
      </c>
      <c r="BV11">
        <f>IF(BU11="",0,IF(OR(ISNUMBER(SEARCH(BU11,C11)),ISNUMBER(SEARCH(C11,BU11))),1,0))</f>
        <v>0</v>
      </c>
      <c r="BW11" cm="1">
        <f t="array" ref="BW11">IF(BU11="",0,IF(SUMPRODUCT(--(ISNUMBER(SEARCH(BU11,$C$2:$C$33))+ISNUMBER(SEARCH($C$2:$C$33,BU11))))&gt;0,1,0))</f>
        <v>1</v>
      </c>
      <c r="BX11" cm="1">
        <f t="array" ref="BX11">IF(BU11="",0,IFERROR(IF(SUMPRODUCT((ISNUMBER(SEARCH(BU11,$C$2:$C$33))+ISNUMBER(SEARCH($C$2:$C$33,BU11)))*($B$2:$B$33=VLOOKUP('Colin Mock wTrade'!C11,$CA$1:$CB$32,2,FALSE)))&gt;0,1,0),0))</f>
        <v>0</v>
      </c>
      <c r="CA11" t="s">
        <v>43</v>
      </c>
      <c r="CB11" t="s">
        <v>403</v>
      </c>
      <c r="CC11" t="str">
        <f>'Other analyst '!S11</f>
        <v>Caleb Downs</v>
      </c>
      <c r="CD11">
        <f t="shared" si="9"/>
        <v>0</v>
      </c>
      <c r="CE11" cm="1">
        <f t="array" ref="CE11">IF(CC11="",0,IF(SUMPRODUCT(--(ISNUMBER(SEARCH(CC11,$C$2:$C$33))+ISNUMBER(SEARCH($C$2:$C$33,CC11))))&gt;0,1,0))</f>
        <v>1</v>
      </c>
      <c r="CF11" cm="1">
        <f t="array" ref="CF11">IF(CC11="",0,IF(SUMPRODUCT((ISNUMBER(SEARCH(CC11,$C$2:$C$33))+ISNUMBER(SEARCH($C$2:$C$33,CC11)))*($B$2:$B$33=$B11))&gt;0,1,0))</f>
        <v>0</v>
      </c>
      <c r="CG11" t="str">
        <f>'Other analyst '!T11</f>
        <v>Olaivavega Ioane</v>
      </c>
      <c r="CH11">
        <f t="shared" si="10"/>
        <v>0</v>
      </c>
      <c r="CI11" cm="1">
        <f t="array" ref="CI11">IF(CG11="",0,IF(SUMPRODUCT(--(ISNUMBER(SEARCH(CG11,$C$2:$C$33))+ISNUMBER(SEARCH($C$2:$C$33,CG11))))&gt;0,1,0))</f>
        <v>1</v>
      </c>
      <c r="CJ11" cm="1">
        <f t="array" ref="CJ11">IF(CG11="",0,IF(SUMPRODUCT((ISNUMBER(SEARCH(CG11,$C$2:$C$33))+ISNUMBER(SEARCH($C$2:$C$33,CG11)))*($B$2:$B$33=$B11))&gt;0,1,0))</f>
        <v>0</v>
      </c>
      <c r="CK11" t="str">
        <f>'Other analyst '!U11</f>
        <v>Mansoor Delane</v>
      </c>
      <c r="CL11">
        <f t="shared" si="11"/>
        <v>0</v>
      </c>
      <c r="CM11" cm="1">
        <f t="array" ref="CM11">IF(CK11="",0,IF(SUMPRODUCT(--(ISNUMBER(SEARCH(CK11,$C$2:$C$33))+ISNUMBER(SEARCH($C$2:$C$33,CK11))))&gt;0,1,0))</f>
        <v>1</v>
      </c>
      <c r="CN11" cm="1">
        <f t="array" ref="CN11">IF(CK11="",0,IF(SUMPRODUCT((ISNUMBER(SEARCH(CK11,$C$2:$C$33))+ISNUMBER(SEARCH($C$2:$C$33,CK11)))*($B$2:$B$33=$B11))&gt;0,1,0))</f>
        <v>0</v>
      </c>
      <c r="CO11" t="str">
        <f>'Other analyst '!V11</f>
        <v>Arvell Reese</v>
      </c>
      <c r="CP11">
        <f t="shared" si="12"/>
        <v>0</v>
      </c>
      <c r="CQ11" cm="1">
        <f t="array" ref="CQ11">IF(CO11="",0,IF(SUMPRODUCT(--(ISNUMBER(SEARCH(CO11,$C$2:$C$33))+ISNUMBER(SEARCH($C$2:$C$33,CO11))))&gt;0,1,0))</f>
        <v>1</v>
      </c>
      <c r="CR11" cm="1">
        <f t="array" ref="CR11">IF(CO11="",0,IF(SUMPRODUCT((ISNUMBER(SEARCH(CO11,$C$2:$C$33))+ISNUMBER(SEARCH($C$2:$C$33,CO11)))*($B$2:$B$33=$B11))&gt;0,1,0))</f>
        <v>1</v>
      </c>
      <c r="CS11" s="36" t="str">
        <f>'Other analyst '!W11</f>
        <v>Caleb Downs</v>
      </c>
      <c r="CT11">
        <f t="shared" si="13"/>
        <v>0</v>
      </c>
      <c r="CU11" cm="1">
        <f t="array" ref="CU11">IF(CS11="",0,IF(SUMPRODUCT(--(ISNUMBER(SEARCH(CS11,$C$2:$C$33))+ISNUMBER(SEARCH($C$2:$C$33,CS11))))&gt;0,1,0))</f>
        <v>1</v>
      </c>
      <c r="CV11" cm="1">
        <f t="array" ref="CV11">IF(CS11="",0,IFERROR(IF(SUMPRODUCT((ISNUMBER(SEARCH(CS11,$C$2:$C$33))+ISNUMBER(SEARCH($C$2:$C$33,CS11)))*(ISNUMBER(SEARCH($B$2:$B$33,'Other analyst '!B11))+ISNUMBER(SEARCH('Other analyst '!B11,$B$2:$B$33))))&gt;0,1,0),0))</f>
        <v>0</v>
      </c>
      <c r="CW11" s="36" t="str">
        <f>'Other analyst '!AD11</f>
        <v>Carnell Tate</v>
      </c>
      <c r="CX11">
        <f t="shared" si="14"/>
        <v>0</v>
      </c>
      <c r="CY11" cm="1">
        <f t="array" ref="CY11">IF(CW11="",0,IF(SUMPRODUCT(--(ISNUMBER(SEARCH(CW11,$C$2:$C$33))+ISNUMBER(SEARCH($C$2:$C$33,CW11))))&gt;0,1,0))</f>
        <v>1</v>
      </c>
      <c r="CZ11" cm="1">
        <f t="array" ref="CZ11">IF(CW11="",0,IF(SUMPRODUCT((ISNUMBER(SEARCH(CW11,$C$2:$C$33))+ISNUMBER(SEARCH($C$2:$C$33,CW11)))*($B$2:$B$33=$B11))&gt;0,1,0))</f>
        <v>0</v>
      </c>
      <c r="DA11" s="36" t="str">
        <f>'Other analyst '!AE11</f>
        <v>Caleb Downs</v>
      </c>
      <c r="DB11">
        <f t="shared" si="15"/>
        <v>0</v>
      </c>
      <c r="DC11" cm="1">
        <f t="array" ref="DC11">IF(DA11="",0,IF(SUMPRODUCT(--(ISNUMBER(SEARCH(DA11,$C$2:$C$33))+ISNUMBER(SEARCH($C$2:$C$33,DA11))))&gt;0,1,0))</f>
        <v>1</v>
      </c>
      <c r="DD11" cm="1">
        <f t="array" ref="DD11">IF(DA11="",0,IF(SUMPRODUCT((ISNUMBER(SEARCH(DA11,$C$2:$C$33))+ISNUMBER(SEARCH($C$2:$C$33,DA11)))*($B$2:$B$33=$B11))&gt;0,1,0))</f>
        <v>0</v>
      </c>
      <c r="DE11" s="36" t="str">
        <f>'Other analyst '!AF11</f>
        <v>Rueben Bain Jr.</v>
      </c>
      <c r="DF11">
        <f t="shared" si="16"/>
        <v>0</v>
      </c>
      <c r="DG11" cm="1">
        <f t="array" ref="DG11">IF(DE11="",0,IF(SUMPRODUCT(--(ISNUMBER(SEARCH(DE11,$C$2:$C$33))+ISNUMBER(SEARCH($C$2:$C$33,DE11))))&gt;0,1,0))</f>
        <v>1</v>
      </c>
      <c r="DH11" cm="1">
        <f t="array" ref="DH11">IF(DE11="",0,IF(SUMPRODUCT((ISNUMBER(SEARCH(DE11,$C$2:$C$33))+ISNUMBER(SEARCH($C$2:$C$33,DE11)))*($B$2:$B$33=$B11))&gt;0,1,0))</f>
        <v>0</v>
      </c>
      <c r="DI11" s="35" t="str">
        <f>'Other analyst '!AG11</f>
        <v>Olaivavega Ioane</v>
      </c>
      <c r="DJ11">
        <f t="shared" si="17"/>
        <v>0</v>
      </c>
      <c r="DK11" cm="1">
        <f t="array" ref="DK11">IF(DI11="",0,IF(SUMPRODUCT(--(ISNUMBER(SEARCH(DI11,$C$2:$C$33))+ISNUMBER(SEARCH($C$2:$C$33,DI11))))&gt;0,1,0))</f>
        <v>1</v>
      </c>
      <c r="DL11" cm="1">
        <f t="array" ref="DL11">IF(DI11="",0,IF(SUMPRODUCT((ISNUMBER(SEARCH(DI11,$C$2:$C$33))+ISNUMBER(SEARCH($C$2:$C$33,DI11)))*($B$2:$B$33=$B11))&gt;0,1,0))</f>
        <v>0</v>
      </c>
      <c r="DM11" s="36" t="str">
        <f>'Other analyst '!AB11</f>
        <v>Caleb Downs</v>
      </c>
      <c r="DN11">
        <f t="shared" si="18"/>
        <v>0</v>
      </c>
      <c r="DO11" cm="1">
        <f t="array" ref="DO11">IF(DM11="",0,IF(SUMPRODUCT(--(ISNUMBER(SEARCH(DM11,$C$2:$C$33))+ISNUMBER(SEARCH($C$2:$C$33,DM11))))&gt;0,1,0))</f>
        <v>1</v>
      </c>
      <c r="DP11" cm="1">
        <f t="array" ref="DP11">IF(DM11="",0,IFERROR(IF(SUMPRODUCT((ISNUMBER(SEARCH(DM11,$C$2:$C$33))+ISNUMBER(SEARCH($C$2:$C$33,DM11)))*(ISNUMBER(SEARCH($B$2:$B$33,'Other analyst '!B11))+ISNUMBER(SEARCH('Other analyst '!B11,$B$2:$B$33))))&gt;0,1,0),0))</f>
        <v>0</v>
      </c>
      <c r="DQ11" s="36" t="str">
        <f>'Other analyst '!AC11</f>
        <v>Jordyn Tyson</v>
      </c>
      <c r="DR11">
        <f t="shared" si="19"/>
        <v>0</v>
      </c>
      <c r="DS11" cm="1">
        <f t="array" ref="DS11">IF(DQ11="",0,IF(SUMPRODUCT(--(ISNUMBER(SEARCH(DQ11,$C$2:$C$33))+ISNUMBER(SEARCH($C$2:$C$33,DQ11))))&gt;0,1,0))</f>
        <v>1</v>
      </c>
      <c r="DT11" cm="1">
        <f t="array" ref="DT11">IF(DQ11="",0,IFERROR(IF(SUMPRODUCT((ISNUMBER(SEARCH(DQ11,$C$2:$C$33))+ISNUMBER(SEARCH($C$2:$C$33,DQ11)))*(ISNUMBER(SEARCH($B$2:$B$33,'Other analyst '!B11))+ISNUMBER(SEARCH('Other analyst '!B11,$B$2:$B$33))))&gt;0,1,0),0))</f>
        <v>0</v>
      </c>
      <c r="DU11" t="str">
        <f>IFERROR(TRIM(LEFT(IF(ISNUMBER(SEARCH("]",'Other analyst '!X11)),MID('Other analyst '!X11,SEARCH("]",'Other analyst '!X11)+1,200),'Other analyst '!X11),IFERROR(SEARCH(" (",IF(ISNUMBER(SEARCH("]",'Other analyst '!X11)),MID('Other analyst '!X11,SEARCH("]",'Other analyst '!X11)+1,200),'Other analyst '!X11))-1,LEN('Other analyst '!X11)))),"")</f>
        <v>Mansoor Delane</v>
      </c>
      <c r="DV11">
        <f>IF(DU11="",0,IF(OR(ISNUMBER(SEARCH(DU11,C11)),ISNUMBER(SEARCH(C11,DU11))),1,0))</f>
        <v>0</v>
      </c>
      <c r="DW11" cm="1">
        <f t="array" ref="DW11">IF(DU11="",0,IF(SUMPRODUCT((ISNUMBER(SEARCH(DU11,$C$2:$C$33))+ISNUMBER(SEARCH($C$2:$C$33,DU11))))&gt;0,1,0))</f>
        <v>1</v>
      </c>
      <c r="DX11">
        <v>0</v>
      </c>
      <c r="DY11" t="str">
        <f>IFERROR(TRIM(LEFT(IF(ISNUMBER(SEARCH("]",'Other analyst '!Y11)),MID('Other analyst '!Y11,SEARCH("]",'Other analyst '!Y11)+1,200),'Other analyst '!Y11),IFERROR(SEARCH(" (",IF(ISNUMBER(SEARCH("]",'Other analyst '!Y11)),MID('Other analyst '!Y11,SEARCH("]",'Other analyst '!Y11)+1,200),'Other analyst '!Y11))-1,LEN('Other analyst '!Y11)))),"")</f>
        <v>Mansoor Delane</v>
      </c>
      <c r="DZ11">
        <f>IF(DY11="",0,IF(OR(ISNUMBER(SEARCH(DY11,C11)),ISNUMBER(SEARCH(C11,DY11))),1,0))</f>
        <v>0</v>
      </c>
      <c r="EA11" cm="1">
        <f t="array" ref="EA11">IF(DY11="",0,IF(SUMPRODUCT((ISNUMBER(SEARCH(DY11,$C$2:$C$33))+ISNUMBER(SEARCH($C$2:$C$33,DY11))))&gt;0,1,0))</f>
        <v>1</v>
      </c>
      <c r="EB11">
        <v>0</v>
      </c>
      <c r="EC11" t="str">
        <f>IFERROR(TRIM(LEFT(IF(ISNUMBER(SEARCH("]",'Other analyst '!Z11)),MID('Other analyst '!Z11,SEARCH("]",'Other analyst '!Z11)+1,200),'Other analyst '!Z11),IFERROR(SEARCH(" (",IF(ISNUMBER(SEARCH("]",'Other analyst '!Z11)),MID('Other analyst '!Z11,SEARCH("]",'Other analyst '!Z11)+1,200),'Other analyst '!Z11))-1,LEN('Other analyst '!Z11)))),"")</f>
        <v>Caleb Downs</v>
      </c>
      <c r="ED11">
        <f>IF(EC11="",0,IF(OR(ISNUMBER(SEARCH(EC11,C11)),ISNUMBER(SEARCH(C11,EC11))),1,0))</f>
        <v>0</v>
      </c>
      <c r="EE11" cm="1">
        <f t="array" ref="EE11">IF(EC11="",0,IF(SUMPRODUCT((ISNUMBER(SEARCH(EC11,$C$2:$C$33))+ISNUMBER(SEARCH($C$2:$C$33,EC11))))&gt;0,1,0))</f>
        <v>1</v>
      </c>
      <c r="EF11">
        <v>0</v>
      </c>
      <c r="EG11" t="str">
        <f>IFERROR(TRIM(LEFT(IF(ISNUMBER(SEARCH("]",'Other analyst '!AA11)),MID('Other analyst '!AA11,SEARCH("]",'Other analyst '!AA11)+1,200),'Other analyst '!AA11),IFERROR(SEARCH(" (",IF(ISNUMBER(SEARCH("]",'Other analyst '!AA11)),MID('Other analyst '!AA11,SEARCH("]",'Other analyst '!AA11)+1,200),'Other analyst '!AA11))-1,LEN('Other analyst '!AA11)))),"")</f>
        <v>Francis Mauigoa</v>
      </c>
      <c r="EH11">
        <f>IF(EG11="",0,IF(OR(ISNUMBER(SEARCH(EG11,C11)),ISNUMBER(SEARCH(C11,EG11))),1,0))</f>
        <v>1</v>
      </c>
      <c r="EI11" cm="1">
        <f t="array" ref="EI11">IF(EG11="",0,IF(SUMPRODUCT((ISNUMBER(SEARCH(EG11,$C$2:$C$33))+ISNUMBER(SEARCH($C$2:$C$33,EG11))))&gt;0,1,0))</f>
        <v>1</v>
      </c>
      <c r="EJ11">
        <v>0</v>
      </c>
      <c r="EK11">
        <f>K11+L11+M11+N11+O11+P11+AF11+AI11+AL11+AP11+AT11+AX11+BB11+BF11+BJ11+BN11+BR11+BV11+CD11+CH11+CL11+CP11+CT11+DV11+DZ11+ED11+EH11+DN11+DR11+CX11+DB11+DF11+DJ11</f>
        <v>6</v>
      </c>
    </row>
    <row r="12" spans="1:141">
      <c r="A12" s="30">
        <v>11</v>
      </c>
      <c r="B12" s="30" t="str">
        <f>'Actual nfl first round'!C12</f>
        <v>Cowboys</v>
      </c>
      <c r="C12" s="31" t="str" cm="1">
        <f t="array" ref="C12">_xlfn.LET(_xlpm.actual, 'Actual nfl first round'!D12,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Caleb Downs</v>
      </c>
      <c r="D12" s="32" t="str">
        <f>'Colin''s Mock'!D12</f>
        <v>Jordyn Tyson</v>
      </c>
      <c r="E12" s="32" t="str">
        <f>_xlfn.LET(_xlpm.raw, 'Other analyst '!C12, _xlpm.s, IF(LEFT(_xlpm.raw,1)="[", MID(_xlpm.raw, FIND("] ",_xlpm.raw)+2, 999), _xlpm.raw), IFERROR(TRIM(LEFT(_xlpm.s, FIND(" (",_xlpm.s)-1)), _xlpm.raw))</f>
        <v>Francis Mauigoa</v>
      </c>
      <c r="F12" s="32" t="str">
        <f>_xlfn.LET(_xlpm.raw, 'Other analyst '!D12, _xlpm.s, IF(LEFT(_xlpm.raw,1)="[", MID(_xlpm.raw, FIND("] ",_xlpm.raw)+2, 999), _xlpm.raw), IFERROR(TRIM(LEFT(_xlpm.s, FIND(" (",_xlpm.s)-1)), _xlpm.raw))</f>
        <v>Mansoor Delane</v>
      </c>
      <c r="G12" s="32" t="str">
        <f>_xlfn.LET(_xlpm.raw, 'Other analyst '!E12, _xlpm.s, IF(LEFT(_xlpm.raw,1)="[", MID(_xlpm.raw, FIND("] ",_xlpm.raw)+2, 999), _xlpm.raw), IFERROR(TRIM(LEFT(_xlpm.s, FIND(" (",_xlpm.s)-1)), _xlpm.raw))</f>
        <v>Francis Mauigoa</v>
      </c>
      <c r="H12" s="32" t="str">
        <f>_xlfn.LET(_xlpm.raw, 'Other analyst '!F12, _xlpm.s, IF(LEFT(_xlpm.raw,1)="[", MID(_xlpm.raw, FIND("] ",_xlpm.raw)+2, 999), _xlpm.raw), IFERROR(TRIM(LEFT(_xlpm.s, FIND(" (",_xlpm.s)-1)), _xlpm.raw))</f>
        <v>Spencer Fano</v>
      </c>
      <c r="I12" s="32" t="str">
        <f>_xlfn.LET(_xlpm.raw, 'Other analyst '!G12, _xlpm.s, IF(LEFT(_xlpm.raw,1)="[", MID(_xlpm.raw, FIND("] ",_xlpm.raw)+2, 999), _xlpm.raw), IFERROR(TRIM(LEFT(_xlpm.s, FIND(" (",_xlpm.s)-1)), _xlpm.raw))</f>
        <v>Spencer Fano</v>
      </c>
      <c r="K12" s="1">
        <f t="shared" si="0"/>
        <v>0</v>
      </c>
      <c r="L12" s="1">
        <f t="shared" si="1"/>
        <v>0</v>
      </c>
      <c r="M12" s="1">
        <f t="shared" si="2"/>
        <v>0</v>
      </c>
      <c r="N12" s="1">
        <f t="shared" si="3"/>
        <v>0</v>
      </c>
      <c r="O12" s="1">
        <f t="shared" si="4"/>
        <v>0</v>
      </c>
      <c r="P12" s="1">
        <f t="shared" si="5"/>
        <v>0</v>
      </c>
      <c r="Q12" s="1" cm="1">
        <f t="array" ref="Q12">IF(D12="", 0, IF(SUMPRODUCT(--(ISNUMBER(SEARCH(D12, $C$2:$C$33)) + ISNUMBER(SEARCH($C$2:$C$33, D12))))&gt;0, 1, 0))</f>
        <v>1</v>
      </c>
      <c r="R12" s="1" cm="1">
        <f t="array" ref="R12">IF(E12="", 0, IF(SUMPRODUCT(--(ISNUMBER(SEARCH(E12, $C$2:$C$33)) + ISNUMBER(SEARCH($C$2:$C$33, E12))))&gt;0, 1, 0))</f>
        <v>1</v>
      </c>
      <c r="S12" s="1" cm="1">
        <f t="array" ref="S12">IF(F12="", 0, IF(SUMPRODUCT(--(ISNUMBER(SEARCH(F12, $C$2:$C$33)) + ISNUMBER(SEARCH($C$2:$C$33, F12))))&gt;0, 1, 0))</f>
        <v>1</v>
      </c>
      <c r="T12" s="1" cm="1">
        <f t="array" ref="T12">IF(G12="", 0, IF(SUMPRODUCT(--(ISNUMBER(SEARCH(G12, $C$2:$C$33)) + ISNUMBER(SEARCH($C$2:$C$33, G12))))&gt;0, 1, 0))</f>
        <v>1</v>
      </c>
      <c r="U12" s="1" cm="1">
        <f t="array" ref="U12">IF(H12="", 0, IF(SUMPRODUCT(--(ISNUMBER(SEARCH(H12, $C$2:$C$33)) + ISNUMBER(SEARCH($C$2:$C$33, H12))))&gt;0, 1, 0))</f>
        <v>1</v>
      </c>
      <c r="V12" s="1" cm="1">
        <f t="array" ref="V12">IF(I12="", 0, IF(SUMPRODUCT(--(ISNUMBER(SEARCH(I12, $C$2:$C$33)) + ISNUMBER(SEARCH($C$2:$C$33, I12))))&gt;0, 1, 0))</f>
        <v>1</v>
      </c>
      <c r="W12" s="1" cm="1">
        <f t="array" ref="W12">IF(D12="",0,IF(SUMPRODUCT((ISNUMBER(SEARCH(D12,$C$2:$C$33))+ISNUMBER(SEARCH($C$2:$C$33,D12)))*($B$2:$B$33=$B12))&gt;0,1,0))</f>
        <v>0</v>
      </c>
      <c r="X12" s="1" cm="1">
        <f t="array" ref="X12">IF(E12="",0,IF(SUMPRODUCT((ISNUMBER(SEARCH(E12,$C$2:$C$33))+ISNUMBER(SEARCH($C$2:$C$33,E12)))*($B$2:$B$33=$B12))&gt;0,1,0))</f>
        <v>0</v>
      </c>
      <c r="Y12" s="1" cm="1">
        <f t="array" ref="Y12">IF(F12="",0,IF(SUMPRODUCT((ISNUMBER(SEARCH(F12,$C$2:$C$33))+ISNUMBER(SEARCH($C$2:$C$33,F12)))*($B$2:$B$33=$B12))&gt;0,1,0))</f>
        <v>0</v>
      </c>
      <c r="Z12" s="1" cm="1">
        <f t="array" ref="Z12">IF(G12="",0,IF(SUMPRODUCT((ISNUMBER(SEARCH(G12,$C$2:$C$33))+ISNUMBER(SEARCH($C$2:$C$33,G12)))*($B$2:$B$33=$B12))&gt;0,1,0))</f>
        <v>0</v>
      </c>
      <c r="AA12" s="1" cm="1">
        <f t="array" ref="AA12">IF(H12="",0,IF(SUMPRODUCT((ISNUMBER(SEARCH(H12,$C$2:$C$33))+ISNUMBER(SEARCH($C$2:$C$33,H12)))*($B$2:$B$33=$B12))&gt;0,1,0))</f>
        <v>0</v>
      </c>
      <c r="AB12" s="1" cm="1">
        <f t="array" ref="AB12">IF(I12="",0,IF(SUMPRODUCT((ISNUMBER(SEARCH(I12,$C$2:$C$33))+ISNUMBER(SEARCH($C$2:$C$33,I12)))*($B$2:$B$33=$B12))&gt;0,1,0))</f>
        <v>0</v>
      </c>
      <c r="AC12" s="36" t="s">
        <v>598</v>
      </c>
      <c r="AD12" s="36" t="s">
        <v>35</v>
      </c>
      <c r="AE12" s="36" t="s">
        <v>44</v>
      </c>
      <c r="AF12">
        <f t="shared" si="6"/>
        <v>0</v>
      </c>
      <c r="AG12" cm="1">
        <f t="array" ref="AG12">IF(AC12="",0,IF(SUMPRODUCT((ISNUMBER(SEARCH(AC12,$C$2:$C$33))+ISNUMBER(SEARCH($C$2:$C$33,AC12))))&gt;0,1,0))</f>
        <v>1</v>
      </c>
      <c r="AH12" cm="1">
        <f t="array" ref="AH12">IF(AC12="",0,IF(SUMPRODUCT((ISNUMBER(SEARCH(AC12,$C$2:$C$33))+ISNUMBER(SEARCH($C$2:$C$33,AC12)))*($B$2:$B$33=$B12))&gt;0,1,0))</f>
        <v>0</v>
      </c>
      <c r="AI12">
        <f t="shared" si="7"/>
        <v>0</v>
      </c>
      <c r="AJ12" cm="1">
        <f t="array" ref="AJ12">IF(AD12="",0,IF(SUMPRODUCT((ISNUMBER(SEARCH(AD12,$C$2:$C$33))+ISNUMBER(SEARCH($C$2:$C$33,AD12))))&gt;0,1,0))</f>
        <v>1</v>
      </c>
      <c r="AK12" cm="1">
        <f t="array" ref="AK12">IF(AD12="",0,IF(SUMPRODUCT((ISNUMBER(SEARCH(AD12,$C$2:$C$33))+ISNUMBER(SEARCH($C$2:$C$33,AD12)))*($B$2:$B$33=$B12))&gt;0,1,0))</f>
        <v>0</v>
      </c>
      <c r="AL12">
        <f t="shared" si="8"/>
        <v>0</v>
      </c>
      <c r="AM12" cm="1">
        <f t="array" ref="AM12">IF(AE12="",0,IF(SUMPRODUCT((ISNUMBER(SEARCH(AE12,$C$2:$C$33))+ISNUMBER(SEARCH($C$2:$C$33,AE12))))&gt;0,1,0))</f>
        <v>1</v>
      </c>
      <c r="AN12" cm="1">
        <f t="array" ref="AN12">IF(AE12="",0,IF(SUMPRODUCT((ISNUMBER(SEARCH(AE12,$C$2:$C$33))+ISNUMBER(SEARCH($C$2:$C$33,AE12)))*($B$2:$B$33=$B12))&gt;0,1,0))</f>
        <v>0</v>
      </c>
      <c r="AO12" s="64" t="str" cm="1">
        <f t="array" ref="AO12">_xlfn.LET(_xlpm.raw,'Other analyst '!K12,_xlpm.mockNames,'Colin''s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Francis Mauigoa</v>
      </c>
      <c r="AP12">
        <f>IF(OR(AO12="",AO12=0),0,IF(OR(ISNUMBER(SEARCH(AO12,$C12)),ISNUMBER(SEARCH($C12,AO12))),1,0))</f>
        <v>0</v>
      </c>
      <c r="AQ12" cm="1">
        <f t="array" ref="AQ12">IF(OR(AO12="",AO12=0),0,IF(SUMPRODUCT(--(ISNUMBER(SEARCH(AO12,$C$2:$C$33))+ISNUMBER(SEARCH($C$2:$C$33,AO12))))&gt;0,1,0))</f>
        <v>1</v>
      </c>
      <c r="AR12" cm="1">
        <f t="array" ref="AR12">IF(OR(AO12="",AO12=0),0,IF(SUMPRODUCT((ISNUMBER(SEARCH(AO12,$C$2:$C$33))+ISNUMBER(SEARCH($C$2:$C$33,AO12)))*($B$2:$B$33=$B12))&gt;0,1,0))</f>
        <v>0</v>
      </c>
      <c r="AS12" s="64" t="str" cm="1">
        <f t="array" ref="AS12">_xlfn.LET(_xlpm.raw,'Other analyst '!L12,_xlpm.mockNames,'Colin''s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Mansoor Delane</v>
      </c>
      <c r="AT12">
        <f>IF(OR(AS12="",AS12=0),0,IF(OR(ISNUMBER(SEARCH(AS12,$C12)),ISNUMBER(SEARCH($C12,AS12))),1,0))</f>
        <v>0</v>
      </c>
      <c r="AU12" cm="1">
        <f t="array" ref="AU12">IF(OR(AS12="",AS12=0),0,IF(SUMPRODUCT(--(ISNUMBER(SEARCH(AS12,$C$2:$C$33))+ISNUMBER(SEARCH($C$2:$C$33,AS12))))&gt;0,1,0))</f>
        <v>1</v>
      </c>
      <c r="AV12" cm="1">
        <f t="array" ref="AV12">IF(OR(AS12="",AS12=0),0,IF(SUMPRODUCT((ISNUMBER(SEARCH(AS12,$C$2:$C$33))+ISNUMBER(SEARCH($C$2:$C$33,AS12)))*($B$2:$B$33=$B12))&gt;0,1,0))</f>
        <v>0</v>
      </c>
      <c r="AW12" s="64" t="str" cm="1">
        <f t="array" ref="AW12">_xlfn.LET(_xlpm.raw,'Other analyst '!M12,_xlpm.mockNames,'Colin''s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Jordyn Tyson</v>
      </c>
      <c r="AX12">
        <f>IF(OR(AW12="",AW12=0),0,IF(OR(ISNUMBER(SEARCH(AW12,$C12)),ISNUMBER(SEARCH($C12,AW12))),1,0))</f>
        <v>0</v>
      </c>
      <c r="AY12" cm="1">
        <f t="array" ref="AY12">IF(OR(AW12="",AW12=0),0,IF(SUMPRODUCT(--(ISNUMBER(SEARCH(AW12,$C$2:$C$33))+ISNUMBER(SEARCH($C$2:$C$33,AW12))))&gt;0,1,0))</f>
        <v>1</v>
      </c>
      <c r="AZ12" cm="1">
        <f t="array" ref="AZ12">IF(OR(AW12="",AW12=0),0,IF(SUMPRODUCT((ISNUMBER(SEARCH(AW12,$C$2:$C$33))+ISNUMBER(SEARCH($C$2:$C$33,AW12)))*($B$2:$B$33=$B12))&gt;0,1,0))</f>
        <v>0</v>
      </c>
      <c r="BA12" s="64" t="str" cm="1">
        <f t="array" ref="BA12">_xlfn.LET(_xlpm.raw,'Other analyst '!N12,_xlpm.mockNames,'Colin''s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Rueben Bain</v>
      </c>
      <c r="BB12">
        <f>IF(OR(BA12="",BA12=0),0,IF(OR(ISNUMBER(SEARCH(BA12,$C12)),ISNUMBER(SEARCH($C12,BA12))),1,0))</f>
        <v>0</v>
      </c>
      <c r="BC12" cm="1">
        <f t="array" ref="BC12">IF(OR(BA12="",BA12=0),0,IF(SUMPRODUCT(--(ISNUMBER(SEARCH(BA12,$C$2:$C$33))+ISNUMBER(SEARCH($C$2:$C$33,BA12))))&gt;0,1,0))</f>
        <v>1</v>
      </c>
      <c r="BD12" cm="1">
        <f t="array" ref="BD12">IF(OR(BA12="",BA12=0),0,IF(SUMPRODUCT((ISNUMBER(SEARCH(BA12,$C$2:$C$33))+ISNUMBER(SEARCH($C$2:$C$33,BA12)))*($B$2:$B$33=$B12))&gt;0,1,0))</f>
        <v>0</v>
      </c>
      <c r="BE12" s="64" t="str" cm="1">
        <f t="array" ref="BE12">_xlfn.LET(_xlpm.raw,'Other analyst '!O12,_xlpm.mockNames,'Colin''s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Mansoor Delane</v>
      </c>
      <c r="BF12">
        <f>IF(OR(BE12="",BE12=0),0,IF(OR(ISNUMBER(SEARCH(BE12,$C12)),ISNUMBER(SEARCH($C12,BE12))),1,0))</f>
        <v>0</v>
      </c>
      <c r="BG12" cm="1">
        <f t="array" ref="BG12">IF(OR(BE12="",BE12=0),0,IF(SUMPRODUCT(--(ISNUMBER(SEARCH(BE12,$C$2:$C$33))+ISNUMBER(SEARCH($C$2:$C$33,BE12))))&gt;0,1,0))</f>
        <v>1</v>
      </c>
      <c r="BH12" cm="1">
        <f t="array" ref="BH12">IF(OR(BE12="",BE12=0),0,IF(SUMPRODUCT((ISNUMBER(SEARCH(BE12,$C$2:$C$33))+ISNUMBER(SEARCH($C$2:$C$33,BE12)))*($B$2:$B$33=$B12))&gt;0,1,0))</f>
        <v>0</v>
      </c>
      <c r="BI12" s="64" t="str" cm="1">
        <f t="array" ref="BI12">_xlfn.LET(_xlpm.raw,'Other analyst '!P12,_xlpm.mockNames,'Colin''s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Rueben Bain</v>
      </c>
      <c r="BJ12">
        <f>IF(OR(BI12="",BI12=0),0,IF(OR(ISNUMBER(SEARCH(BI12,$C12)),ISNUMBER(SEARCH($C12,BI12))),1,0))</f>
        <v>0</v>
      </c>
      <c r="BK12" cm="1">
        <f t="array" ref="BK12">IF(OR(BI12="",BI12=0),0,IF(SUMPRODUCT(--(ISNUMBER(SEARCH(BI12,$C$2:$C$33))+ISNUMBER(SEARCH($C$2:$C$33,BI12))))&gt;0,1,0))</f>
        <v>1</v>
      </c>
      <c r="BL12" cm="1">
        <f t="array" ref="BL12">IF(OR(BI12="",BI12=0),0,IF(SUMPRODUCT((ISNUMBER(SEARCH(BI12,$C$2:$C$33))+ISNUMBER(SEARCH($C$2:$C$33,BI12)))*($B$2:$B$33=$B12))&gt;0,1,0))</f>
        <v>0</v>
      </c>
      <c r="BM12" s="64" t="str" cm="1">
        <f t="array" ref="BM12">_xlfn.LET(_xlpm.raw,'Other analyst '!Q12,_xlpm.mockNames,'Colin''s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Spencer Fano</v>
      </c>
      <c r="BN12">
        <f>IF(OR(BM12="",BM12=0),0,IF(OR(ISNUMBER(SEARCH(BM12,$C12)),ISNUMBER(SEARCH($C12,BM12))),1,0))</f>
        <v>0</v>
      </c>
      <c r="BO12" cm="1">
        <f t="array" ref="BO12">IF(OR(BM12="",BM12=0),0,IF(SUMPRODUCT(--(ISNUMBER(SEARCH(BM12,$C$2:$C$33))+ISNUMBER(SEARCH($C$2:$C$33,BM12))))&gt;0,1,0))</f>
        <v>1</v>
      </c>
      <c r="BP12" cm="1">
        <f t="array" ref="BP12">IF(OR(BM12="",BM12=0),0,IF(SUMPRODUCT((ISNUMBER(SEARCH(BM12,$C$2:$C$33))+ISNUMBER(SEARCH($C$2:$C$33,BM12)))*($B$2:$B$33=$B12))&gt;0,1,0))</f>
        <v>0</v>
      </c>
      <c r="BQ12" s="64" t="str" cm="1">
        <f t="array" ref="BQ12">_xlfn.LET(_xlpm.raw,'Other analyst '!R12,_xlpm.mockNames,'Colin''s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Spencer Fano</v>
      </c>
      <c r="BR12">
        <f>IF(OR(BQ12="",BQ12=0),0,IF(OR(ISNUMBER(SEARCH(BQ12,$C12)),ISNUMBER(SEARCH($C12,BQ12))),1,0))</f>
        <v>0</v>
      </c>
      <c r="BS12" cm="1">
        <f t="array" ref="BS12">IF(OR(BQ12="",BQ12=0),0,IF(SUMPRODUCT(--(ISNUMBER(SEARCH(BQ12,$C$2:$C$33))+ISNUMBER(SEARCH($C$2:$C$33,BQ12))))&gt;0,1,0))</f>
        <v>1</v>
      </c>
      <c r="BT12" cm="1">
        <f t="array" ref="BT12">IF(OR(BQ12="",BQ12=0),0,IF(SUMPRODUCT((ISNUMBER(SEARCH(BQ12,$C$2:$C$33))+ISNUMBER(SEARCH($C$2:$C$33,BQ12)))*($B$2:$B$33=$B12))&gt;0,1,0))</f>
        <v>0</v>
      </c>
      <c r="BU12" s="76" t="str">
        <f>'Colin Mock wTrade'!D12</f>
        <v>Jordyn Tyson</v>
      </c>
      <c r="BV12">
        <f>IF(BU12="",0,IF(OR(ISNUMBER(SEARCH(BU12,C12)),ISNUMBER(SEARCH(C12,BU12))),1,0))</f>
        <v>0</v>
      </c>
      <c r="BW12" cm="1">
        <f t="array" ref="BW12">IF(BU12="",0,IF(SUMPRODUCT(--(ISNUMBER(SEARCH(BU12,$C$2:$C$33))+ISNUMBER(SEARCH($C$2:$C$33,BU12))))&gt;0,1,0))</f>
        <v>1</v>
      </c>
      <c r="BX12" cm="1">
        <f t="array" ref="BX12">IF(BU12="",0,IFERROR(IF(SUMPRODUCT((ISNUMBER(SEARCH(BU12,$C$2:$C$33))+ISNUMBER(SEARCH($C$2:$C$33,BU12)))*($B$2:$B$33=VLOOKUP('Colin Mock wTrade'!C12,$CA$1:$CB$32,2,FALSE)))&gt;0,1,0),0))</f>
        <v>0</v>
      </c>
      <c r="CA12" t="s">
        <v>46</v>
      </c>
      <c r="CB12" t="s">
        <v>407</v>
      </c>
      <c r="CC12" t="str">
        <f>'Other analyst '!S12</f>
        <v>Spencer Fano</v>
      </c>
      <c r="CD12">
        <f t="shared" si="9"/>
        <v>0</v>
      </c>
      <c r="CE12" cm="1">
        <f t="array" ref="CE12">IF(CC12="",0,IF(SUMPRODUCT(--(ISNUMBER(SEARCH(CC12,$C$2:$C$33))+ISNUMBER(SEARCH($C$2:$C$33,CC12))))&gt;0,1,0))</f>
        <v>1</v>
      </c>
      <c r="CF12" cm="1">
        <f t="array" ref="CF12">IF(CC12="",0,IF(SUMPRODUCT((ISNUMBER(SEARCH(CC12,$C$2:$C$33))+ISNUMBER(SEARCH($C$2:$C$33,CC12)))*($B$2:$B$33=$B12))&gt;0,1,0))</f>
        <v>0</v>
      </c>
      <c r="CG12" t="str">
        <f>'Other analyst '!T12</f>
        <v>Mansoor Delane</v>
      </c>
      <c r="CH12">
        <f t="shared" si="10"/>
        <v>0</v>
      </c>
      <c r="CI12" cm="1">
        <f t="array" ref="CI12">IF(CG12="",0,IF(SUMPRODUCT(--(ISNUMBER(SEARCH(CG12,$C$2:$C$33))+ISNUMBER(SEARCH($C$2:$C$33,CG12))))&gt;0,1,0))</f>
        <v>1</v>
      </c>
      <c r="CJ12" cm="1">
        <f t="array" ref="CJ12">IF(CG12="",0,IF(SUMPRODUCT((ISNUMBER(SEARCH(CG12,$C$2:$C$33))+ISNUMBER(SEARCH($C$2:$C$33,CG12)))*($B$2:$B$33=$B12))&gt;0,1,0))</f>
        <v>0</v>
      </c>
      <c r="CK12" t="str">
        <f>'Other analyst '!U12</f>
        <v>Makai Lemon</v>
      </c>
      <c r="CL12">
        <f t="shared" si="11"/>
        <v>0</v>
      </c>
      <c r="CM12" cm="1">
        <f t="array" ref="CM12">IF(CK12="",0,IF(SUMPRODUCT(--(ISNUMBER(SEARCH(CK12,$C$2:$C$33))+ISNUMBER(SEARCH($C$2:$C$33,CK12))))&gt;0,1,0))</f>
        <v>1</v>
      </c>
      <c r="CN12" cm="1">
        <f t="array" ref="CN12">IF(CK12="",0,IF(SUMPRODUCT((ISNUMBER(SEARCH(CK12,$C$2:$C$33))+ISNUMBER(SEARCH($C$2:$C$33,CK12)))*($B$2:$B$33=$B12))&gt;0,1,0))</f>
        <v>0</v>
      </c>
      <c r="CO12" t="str">
        <f>'Other analyst '!V12</f>
        <v>Malachi Toney</v>
      </c>
      <c r="CP12">
        <f t="shared" si="12"/>
        <v>0</v>
      </c>
      <c r="CQ12" cm="1">
        <f t="array" ref="CQ12">IF(CO12="",0,IF(SUMPRODUCT(--(ISNUMBER(SEARCH(CO12,$C$2:$C$33))+ISNUMBER(SEARCH($C$2:$C$33,CO12))))&gt;0,1,0))</f>
        <v>0</v>
      </c>
      <c r="CR12" cm="1">
        <f t="array" ref="CR12">IF(CO12="",0,IF(SUMPRODUCT((ISNUMBER(SEARCH(CO12,$C$2:$C$33))+ISNUMBER(SEARCH($C$2:$C$33,CO12)))*($B$2:$B$33=$B12))&gt;0,1,0))</f>
        <v>0</v>
      </c>
      <c r="CS12" s="28" t="str">
        <f>'Other analyst '!W12</f>
        <v>Jermod McCoy</v>
      </c>
      <c r="CT12">
        <f t="shared" si="13"/>
        <v>0</v>
      </c>
      <c r="CU12" cm="1">
        <f t="array" ref="CU12">IF(CS12="",0,IF(SUMPRODUCT(--(ISNUMBER(SEARCH(CS12,$C$2:$C$33))+ISNUMBER(SEARCH($C$2:$C$33,CS12))))&gt;0,1,0))</f>
        <v>0</v>
      </c>
      <c r="CV12" cm="1">
        <f t="array" ref="CV12">IF(CS12="",0,IFERROR(IF(SUMPRODUCT((ISNUMBER(SEARCH(CS12,$C$2:$C$33))+ISNUMBER(SEARCH($C$2:$C$33,CS12)))*(ISNUMBER(SEARCH($B$2:$B$33,'Other analyst '!B12))+ISNUMBER(SEARCH('Other analyst '!B12,$B$2:$B$33))))&gt;0,1,0),0))</f>
        <v>0</v>
      </c>
      <c r="CW12" s="78" t="str">
        <f>'Other analyst '!AD12</f>
        <v>Francis Mauigoa</v>
      </c>
      <c r="CX12">
        <f t="shared" si="14"/>
        <v>0</v>
      </c>
      <c r="CY12" cm="1">
        <f t="array" ref="CY12">IF(CW12="",0,IF(SUMPRODUCT(--(ISNUMBER(SEARCH(CW12,$C$2:$C$33))+ISNUMBER(SEARCH($C$2:$C$33,CW12))))&gt;0,1,0))</f>
        <v>1</v>
      </c>
      <c r="CZ12" cm="1">
        <f t="array" ref="CZ12">IF(CW12="",0,IF(SUMPRODUCT((ISNUMBER(SEARCH(CW12,$C$2:$C$33))+ISNUMBER(SEARCH($C$2:$C$33,CW12)))*($B$2:$B$33=$B12))&gt;0,1,0))</f>
        <v>0</v>
      </c>
      <c r="DA12" s="78" t="str">
        <f>'Other analyst '!AE12</f>
        <v>Kenyon Sadiq</v>
      </c>
      <c r="DB12">
        <f t="shared" si="15"/>
        <v>0</v>
      </c>
      <c r="DC12" cm="1">
        <f t="array" ref="DC12">IF(DA12="",0,IF(SUMPRODUCT(--(ISNUMBER(SEARCH(DA12,$C$2:$C$33))+ISNUMBER(SEARCH($C$2:$C$33,DA12))))&gt;0,1,0))</f>
        <v>1</v>
      </c>
      <c r="DD12" cm="1">
        <f t="array" ref="DD12">IF(DA12="",0,IF(SUMPRODUCT((ISNUMBER(SEARCH(DA12,$C$2:$C$33))+ISNUMBER(SEARCH($C$2:$C$33,DA12)))*($B$2:$B$33=$B12))&gt;0,1,0))</f>
        <v>0</v>
      </c>
      <c r="DE12" s="36" t="str">
        <f>'Other analyst '!AF12</f>
        <v>Caleb Downs</v>
      </c>
      <c r="DF12">
        <f t="shared" si="16"/>
        <v>1</v>
      </c>
      <c r="DG12" cm="1">
        <f t="array" ref="DG12">IF(DE12="",0,IF(SUMPRODUCT(--(ISNUMBER(SEARCH(DE12,$C$2:$C$33))+ISNUMBER(SEARCH($C$2:$C$33,DE12))))&gt;0,1,0))</f>
        <v>1</v>
      </c>
      <c r="DH12" cm="1">
        <f t="array" ref="DH12">IF(DE12="",0,IF(SUMPRODUCT((ISNUMBER(SEARCH(DE12,$C$2:$C$33))+ISNUMBER(SEARCH($C$2:$C$33,DE12)))*($B$2:$B$33=$B12))&gt;0,1,0))</f>
        <v>1</v>
      </c>
      <c r="DI12" s="78" t="str">
        <f>'Other analyst '!AG12</f>
        <v>Francis Mauigoa</v>
      </c>
      <c r="DJ12">
        <f t="shared" si="17"/>
        <v>0</v>
      </c>
      <c r="DK12" cm="1">
        <f t="array" ref="DK12">IF(DI12="",0,IF(SUMPRODUCT(--(ISNUMBER(SEARCH(DI12,$C$2:$C$33))+ISNUMBER(SEARCH($C$2:$C$33,DI12))))&gt;0,1,0))</f>
        <v>1</v>
      </c>
      <c r="DL12" cm="1">
        <f t="array" ref="DL12">IF(DI12="",0,IF(SUMPRODUCT((ISNUMBER(SEARCH(DI12,$C$2:$C$33))+ISNUMBER(SEARCH($C$2:$C$33,DI12)))*($B$2:$B$33=$B12))&gt;0,1,0))</f>
        <v>0</v>
      </c>
      <c r="DM12" s="36" t="str">
        <f>'Other analyst '!AB12</f>
        <v>Francis Mauigoa</v>
      </c>
      <c r="DN12">
        <f t="shared" si="18"/>
        <v>0</v>
      </c>
      <c r="DO12" cm="1">
        <f t="array" ref="DO12">IF(DM12="",0,IF(SUMPRODUCT(--(ISNUMBER(SEARCH(DM12,$C$2:$C$33))+ISNUMBER(SEARCH($C$2:$C$33,DM12))))&gt;0,1,0))</f>
        <v>1</v>
      </c>
      <c r="DP12" cm="1">
        <f t="array" ref="DP12">IF(DM12="",0,IFERROR(IF(SUMPRODUCT((ISNUMBER(SEARCH(DM12,$C$2:$C$33))+ISNUMBER(SEARCH($C$2:$C$33,DM12)))*(ISNUMBER(SEARCH($B$2:$B$33,'Other analyst '!B12))+ISNUMBER(SEARCH('Other analyst '!B12,$B$2:$B$33))))&gt;0,1,0),0))</f>
        <v>0</v>
      </c>
      <c r="DQ12" s="36" t="str">
        <f>'Other analyst '!AC12</f>
        <v>Spencer Fano</v>
      </c>
      <c r="DR12">
        <f t="shared" si="19"/>
        <v>0</v>
      </c>
      <c r="DS12" cm="1">
        <f t="array" ref="DS12">IF(DQ12="",0,IF(SUMPRODUCT(--(ISNUMBER(SEARCH(DQ12,$C$2:$C$33))+ISNUMBER(SEARCH($C$2:$C$33,DQ12))))&gt;0,1,0))</f>
        <v>1</v>
      </c>
      <c r="DT12" cm="1">
        <f t="array" ref="DT12">IF(DQ12="",0,IFERROR(IF(SUMPRODUCT((ISNUMBER(SEARCH(DQ12,$C$2:$C$33))+ISNUMBER(SEARCH($C$2:$C$33,DQ12)))*(ISNUMBER(SEARCH($B$2:$B$33,'Other analyst '!B12))+ISNUMBER(SEARCH('Other analyst '!B12,$B$2:$B$33))))&gt;0,1,0),0))</f>
        <v>0</v>
      </c>
      <c r="DU12" t="str">
        <f>IFERROR(TRIM(LEFT(IF(ISNUMBER(SEARCH("]",'Other analyst '!X12)),MID('Other analyst '!X12,SEARCH("]",'Other analyst '!X12)+1,200),'Other analyst '!X12),IFERROR(SEARCH(" (",IF(ISNUMBER(SEARCH("]",'Other analyst '!X12)),MID('Other analyst '!X12,SEARCH("]",'Other analyst '!X12)+1,200),'Other analyst '!X12))-1,LEN('Other analyst '!X12)))),"")</f>
        <v>Kadyn Proctor</v>
      </c>
      <c r="DV12">
        <f>IF(DU12="",0,IF(OR(ISNUMBER(SEARCH(DU12,C12)),ISNUMBER(SEARCH(C12,DU12))),1,0))</f>
        <v>0</v>
      </c>
      <c r="DW12" cm="1">
        <f t="array" ref="DW12">IF(DU12="",0,IF(SUMPRODUCT((ISNUMBER(SEARCH(DU12,$C$2:$C$33))+ISNUMBER(SEARCH($C$2:$C$33,DU12))))&gt;0,1,0))</f>
        <v>1</v>
      </c>
      <c r="DX12">
        <v>0</v>
      </c>
      <c r="DY12" t="str">
        <f>IFERROR(TRIM(LEFT(IF(ISNUMBER(SEARCH("]",'Other analyst '!Y12)),MID('Other analyst '!Y12,SEARCH("]",'Other analyst '!Y12)+1,200),'Other analyst '!Y12),IFERROR(SEARCH(" (",IF(ISNUMBER(SEARCH("]",'Other analyst '!Y12)),MID('Other analyst '!Y12,SEARCH("]",'Other analyst '!Y12)+1,200),'Other analyst '!Y12))-1,LEN('Other analyst '!Y12)))),"")</f>
        <v>Kadyn Proctor</v>
      </c>
      <c r="DZ12">
        <f>IF(DY12="",0,IF(OR(ISNUMBER(SEARCH(DY12,C12)),ISNUMBER(SEARCH(C12,DY12))),1,0))</f>
        <v>0</v>
      </c>
      <c r="EA12" cm="1">
        <f t="array" ref="EA12">IF(DY12="",0,IF(SUMPRODUCT((ISNUMBER(SEARCH(DY12,$C$2:$C$33))+ISNUMBER(SEARCH($C$2:$C$33,DY12))))&gt;0,1,0))</f>
        <v>1</v>
      </c>
      <c r="EB12">
        <v>0</v>
      </c>
      <c r="EC12" t="str">
        <f>IFERROR(TRIM(LEFT(IF(ISNUMBER(SEARCH("]",'Other analyst '!Z12)),MID('Other analyst '!Z12,SEARCH("]",'Other analyst '!Z12)+1,200),'Other analyst '!Z12),IFERROR(SEARCH(" (",IF(ISNUMBER(SEARCH("]",'Other analyst '!Z12)),MID('Other analyst '!Z12,SEARCH("]",'Other analyst '!Z12)+1,200),'Other analyst '!Z12))-1,LEN('Other analyst '!Z12)))),"")</f>
        <v>Carnell Tate</v>
      </c>
      <c r="ED12">
        <f>IF(EC12="",0,IF(OR(ISNUMBER(SEARCH(EC12,C12)),ISNUMBER(SEARCH(C12,EC12))),1,0))</f>
        <v>0</v>
      </c>
      <c r="EE12" cm="1">
        <f t="array" ref="EE12">IF(EC12="",0,IF(SUMPRODUCT((ISNUMBER(SEARCH(EC12,$C$2:$C$33))+ISNUMBER(SEARCH($C$2:$C$33,EC12))))&gt;0,1,0))</f>
        <v>1</v>
      </c>
      <c r="EF12">
        <v>0</v>
      </c>
      <c r="EG12" t="str">
        <f>IFERROR(TRIM(LEFT(IF(ISNUMBER(SEARCH("]",'Other analyst '!AA12)),MID('Other analyst '!AA12,SEARCH("]",'Other analyst '!AA12)+1,200),'Other analyst '!AA12),IFERROR(SEARCH(" (",IF(ISNUMBER(SEARCH("]",'Other analyst '!AA12)),MID('Other analyst '!AA12,SEARCH("]",'Other analyst '!AA12)+1,200),'Other analyst '!AA12))-1,LEN('Other analyst '!AA12)))),"")</f>
        <v>Kadyn Proctor</v>
      </c>
      <c r="EH12">
        <f>IF(EG12="",0,IF(OR(ISNUMBER(SEARCH(EG12,C12)),ISNUMBER(SEARCH(C12,EG12))),1,0))</f>
        <v>0</v>
      </c>
      <c r="EI12" cm="1">
        <f t="array" ref="EI12">IF(EG12="",0,IF(SUMPRODUCT((ISNUMBER(SEARCH(EG12,$C$2:$C$33))+ISNUMBER(SEARCH($C$2:$C$33,EG12))))&gt;0,1,0))</f>
        <v>1</v>
      </c>
      <c r="EJ12">
        <v>0</v>
      </c>
      <c r="EK12">
        <f>K12+L12+M12+N12+O12+P12+AF12+AI12+AL12+AP12+AT12+AX12+BB12+BF12+BJ12+BN12+BR12+BV12+CD12+CH12+CL12+CP12+CT12+DV12+DZ12+ED12+EH12+DN12+DR12+CX12+DB12+DF12+DJ12</f>
        <v>1</v>
      </c>
    </row>
    <row r="13" spans="1:141">
      <c r="A13" s="30">
        <v>12</v>
      </c>
      <c r="B13" s="30" t="str">
        <f>'Actual nfl first round'!C13</f>
        <v>Dolphins</v>
      </c>
      <c r="C13" s="31" t="str" cm="1">
        <f t="array" ref="C13">_xlfn.LET(_xlpm.actual, 'Actual nfl first round'!D13,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Kadyn Proctor</v>
      </c>
      <c r="D13" s="32" t="str">
        <f>'Colin''s Mock'!D13</f>
        <v>Spencer Fano</v>
      </c>
      <c r="E13" s="32" t="str">
        <f>_xlfn.LET(_xlpm.raw, 'Other analyst '!C13, _xlpm.s, IF(LEFT(_xlpm.raw,1)="[", MID(_xlpm.raw, FIND("] ",_xlpm.raw)+2, 999), _xlpm.raw), IFERROR(TRIM(LEFT(_xlpm.s, FIND(" (",_xlpm.s)-1)), _xlpm.raw))</f>
        <v>Mansoor Delane</v>
      </c>
      <c r="F13" s="32" t="str">
        <f>_xlfn.LET(_xlpm.raw, 'Other analyst '!D13, _xlpm.s, IF(LEFT(_xlpm.raw,1)="[", MID(_xlpm.raw, FIND("] ",_xlpm.raw)+2, 999), _xlpm.raw), IFERROR(TRIM(LEFT(_xlpm.s, FIND(" (",_xlpm.s)-1)), _xlpm.raw))</f>
        <v>Kadyn Proctor</v>
      </c>
      <c r="G13" s="32" t="str">
        <f>_xlfn.LET(_xlpm.raw, 'Other analyst '!E13, _xlpm.s, IF(LEFT(_xlpm.raw,1)="[", MID(_xlpm.raw, FIND("] ",_xlpm.raw)+2, 999), _xlpm.raw), IFERROR(TRIM(LEFT(_xlpm.s, FIND(" (",_xlpm.s)-1)), _xlpm.raw))</f>
        <v>Rueben Bain Jr.</v>
      </c>
      <c r="H13" s="32" t="str">
        <f>_xlfn.LET(_xlpm.raw, 'Other analyst '!F13, _xlpm.s, IF(LEFT(_xlpm.raw,1)="[", MID(_xlpm.raw, FIND("] ",_xlpm.raw)+2, 999), _xlpm.raw), IFERROR(TRIM(LEFT(_xlpm.s, FIND(" (",_xlpm.s)-1)), _xlpm.raw))</f>
        <v>Mansoor Delane</v>
      </c>
      <c r="I13" s="32" t="str">
        <f>_xlfn.LET(_xlpm.raw, 'Other analyst '!G13, _xlpm.s, IF(LEFT(_xlpm.raw,1)="[", MID(_xlpm.raw, FIND("] ",_xlpm.raw)+2, 999), _xlpm.raw), IFERROR(TRIM(LEFT(_xlpm.s, FIND(" (",_xlpm.s)-1)), _xlpm.raw))</f>
        <v>Dillon Thieneman</v>
      </c>
      <c r="K13" s="1">
        <f t="shared" si="0"/>
        <v>0</v>
      </c>
      <c r="L13" s="1">
        <f t="shared" si="1"/>
        <v>0</v>
      </c>
      <c r="M13" s="1">
        <f t="shared" si="2"/>
        <v>1</v>
      </c>
      <c r="N13" s="1">
        <f t="shared" si="3"/>
        <v>0</v>
      </c>
      <c r="O13" s="1">
        <f t="shared" si="4"/>
        <v>0</v>
      </c>
      <c r="P13" s="1">
        <f t="shared" si="5"/>
        <v>0</v>
      </c>
      <c r="Q13" s="1" cm="1">
        <f t="array" ref="Q13">IF(D13="", 0, IF(SUMPRODUCT(--(ISNUMBER(SEARCH(D13, $C$2:$C$33)) + ISNUMBER(SEARCH($C$2:$C$33, D13))))&gt;0, 1, 0))</f>
        <v>1</v>
      </c>
      <c r="R13" s="1" cm="1">
        <f t="array" ref="R13">IF(E13="", 0, IF(SUMPRODUCT(--(ISNUMBER(SEARCH(E13, $C$2:$C$33)) + ISNUMBER(SEARCH($C$2:$C$33, E13))))&gt;0, 1, 0))</f>
        <v>1</v>
      </c>
      <c r="S13" s="1" cm="1">
        <f t="array" ref="S13">IF(F13="", 0, IF(SUMPRODUCT(--(ISNUMBER(SEARCH(F13, $C$2:$C$33)) + ISNUMBER(SEARCH($C$2:$C$33, F13))))&gt;0, 1, 0))</f>
        <v>1</v>
      </c>
      <c r="T13" s="1" cm="1">
        <f t="array" ref="T13">IF(G13="", 0, IF(SUMPRODUCT(--(ISNUMBER(SEARCH(G13, $C$2:$C$33)) + ISNUMBER(SEARCH($C$2:$C$33, G13))))&gt;0, 1, 0))</f>
        <v>1</v>
      </c>
      <c r="U13" s="1" cm="1">
        <f t="array" ref="U13">IF(H13="", 0, IF(SUMPRODUCT(--(ISNUMBER(SEARCH(H13, $C$2:$C$33)) + ISNUMBER(SEARCH($C$2:$C$33, H13))))&gt;0, 1, 0))</f>
        <v>1</v>
      </c>
      <c r="V13" s="1" cm="1">
        <f t="array" ref="V13">IF(I13="", 0, IF(SUMPRODUCT(--(ISNUMBER(SEARCH(I13, $C$2:$C$33)) + ISNUMBER(SEARCH($C$2:$C$33, I13))))&gt;0, 1, 0))</f>
        <v>1</v>
      </c>
      <c r="W13" s="1" cm="1">
        <f t="array" ref="W13">IF(D13="",0,IF(SUMPRODUCT((ISNUMBER(SEARCH(D13,$C$2:$C$33))+ISNUMBER(SEARCH($C$2:$C$33,D13)))*($B$2:$B$33=$B13))&gt;0,1,0))</f>
        <v>0</v>
      </c>
      <c r="X13" s="1" cm="1">
        <f t="array" ref="X13">IF(E13="",0,IF(SUMPRODUCT((ISNUMBER(SEARCH(E13,$C$2:$C$33))+ISNUMBER(SEARCH($C$2:$C$33,E13)))*($B$2:$B$33=$B13))&gt;0,1,0))</f>
        <v>0</v>
      </c>
      <c r="Y13" s="1" cm="1">
        <f t="array" ref="Y13">IF(F13="",0,IF(SUMPRODUCT((ISNUMBER(SEARCH(F13,$C$2:$C$33))+ISNUMBER(SEARCH($C$2:$C$33,F13)))*($B$2:$B$33=$B13))&gt;0,1,0))</f>
        <v>1</v>
      </c>
      <c r="Z13" s="1" cm="1">
        <f t="array" ref="Z13">IF(G13="",0,IF(SUMPRODUCT((ISNUMBER(SEARCH(G13,$C$2:$C$33))+ISNUMBER(SEARCH($C$2:$C$33,G13)))*($B$2:$B$33=$B13))&gt;0,1,0))</f>
        <v>0</v>
      </c>
      <c r="AA13" s="1" cm="1">
        <f t="array" ref="AA13">IF(H13="",0,IF(SUMPRODUCT((ISNUMBER(SEARCH(H13,$C$2:$C$33))+ISNUMBER(SEARCH($C$2:$C$33,H13)))*($B$2:$B$33=$B13))&gt;0,1,0))</f>
        <v>0</v>
      </c>
      <c r="AB13" s="1" cm="1">
        <f t="array" ref="AB13">IF(I13="",0,IF(SUMPRODUCT((ISNUMBER(SEARCH(I13,$C$2:$C$33))+ISNUMBER(SEARCH($C$2:$C$33,I13)))*($B$2:$B$33=$B13))&gt;0,1,0))</f>
        <v>0</v>
      </c>
      <c r="AC13" s="36" t="s">
        <v>38</v>
      </c>
      <c r="AD13" s="36" t="s">
        <v>44</v>
      </c>
      <c r="AE13" s="36" t="s">
        <v>41</v>
      </c>
      <c r="AF13">
        <f t="shared" si="6"/>
        <v>0</v>
      </c>
      <c r="AG13" cm="1">
        <f t="array" ref="AG13">IF(AC13="",0,IF(SUMPRODUCT((ISNUMBER(SEARCH(AC13,$C$2:$C$33))+ISNUMBER(SEARCH($C$2:$C$33,AC13))))&gt;0,1,0))</f>
        <v>1</v>
      </c>
      <c r="AH13" cm="1">
        <f t="array" ref="AH13">IF(AC13="",0,IF(SUMPRODUCT((ISNUMBER(SEARCH(AC13,$C$2:$C$33))+ISNUMBER(SEARCH($C$2:$C$33,AC13)))*($B$2:$B$33=$B13))&gt;0,1,0))</f>
        <v>0</v>
      </c>
      <c r="AI13">
        <f t="shared" si="7"/>
        <v>0</v>
      </c>
      <c r="AJ13" cm="1">
        <f t="array" ref="AJ13">IF(AD13="",0,IF(SUMPRODUCT((ISNUMBER(SEARCH(AD13,$C$2:$C$33))+ISNUMBER(SEARCH($C$2:$C$33,AD13))))&gt;0,1,0))</f>
        <v>1</v>
      </c>
      <c r="AK13" cm="1">
        <f t="array" ref="AK13">IF(AD13="",0,IF(SUMPRODUCT((ISNUMBER(SEARCH(AD13,$C$2:$C$33))+ISNUMBER(SEARCH($C$2:$C$33,AD13)))*($B$2:$B$33=$B13))&gt;0,1,0))</f>
        <v>0</v>
      </c>
      <c r="AL13">
        <f t="shared" si="8"/>
        <v>0</v>
      </c>
      <c r="AM13" cm="1">
        <f t="array" ref="AM13">IF(AE13="",0,IF(SUMPRODUCT((ISNUMBER(SEARCH(AE13,$C$2:$C$33))+ISNUMBER(SEARCH($C$2:$C$33,AE13))))&gt;0,1,0))</f>
        <v>1</v>
      </c>
      <c r="AN13" cm="1">
        <f t="array" ref="AN13">IF(AE13="",0,IF(SUMPRODUCT((ISNUMBER(SEARCH(AE13,$C$2:$C$33))+ISNUMBER(SEARCH($C$2:$C$33,AE13)))*($B$2:$B$33=$B13))&gt;0,1,0))</f>
        <v>0</v>
      </c>
      <c r="AO13" s="64" t="str" cm="1">
        <f t="array" ref="AO13">_xlfn.LET(_xlpm.raw,'Other analyst '!K13,_xlpm.mockNames,'Colin''s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Rueben Bain</v>
      </c>
      <c r="AP13">
        <f>IF(OR(AO13="",AO13=0),0,IF(OR(ISNUMBER(SEARCH(AO13,$C13)),ISNUMBER(SEARCH($C13,AO13))),1,0))</f>
        <v>0</v>
      </c>
      <c r="AQ13" cm="1">
        <f t="array" ref="AQ13">IF(OR(AO13="",AO13=0),0,IF(SUMPRODUCT(--(ISNUMBER(SEARCH(AO13,$C$2:$C$33))+ISNUMBER(SEARCH($C$2:$C$33,AO13))))&gt;0,1,0))</f>
        <v>1</v>
      </c>
      <c r="AR13" cm="1">
        <f t="array" ref="AR13">IF(OR(AO13="",AO13=0),0,IF(SUMPRODUCT((ISNUMBER(SEARCH(AO13,$C$2:$C$33))+ISNUMBER(SEARCH($C$2:$C$33,AO13)))*($B$2:$B$33=$B13))&gt;0,1,0))</f>
        <v>0</v>
      </c>
      <c r="AS13" s="65" t="str" cm="1">
        <f t="array" ref="AS13">_xlfn.LET(_xlpm.raw,'Other analyst '!L13,_xlpm.mockNames,'Colin''s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Jermod McCoy</v>
      </c>
      <c r="AT13">
        <f>IF(OR(AS13="",AS13=0),0,IF(OR(ISNUMBER(SEARCH(AS13,$C13)),ISNUMBER(SEARCH($C13,AS13))),1,0))</f>
        <v>0</v>
      </c>
      <c r="AU13" cm="1">
        <f t="array" ref="AU13">IF(OR(AS13="",AS13=0),0,IF(SUMPRODUCT(--(ISNUMBER(SEARCH(AS13,$C$2:$C$33))+ISNUMBER(SEARCH($C$2:$C$33,AS13))))&gt;0,1,0))</f>
        <v>0</v>
      </c>
      <c r="AV13" cm="1">
        <f t="array" ref="AV13">IF(OR(AS13="",AS13=0),0,IF(SUMPRODUCT((ISNUMBER(SEARCH(AS13,$C$2:$C$33))+ISNUMBER(SEARCH($C$2:$C$33,AS13)))*($B$2:$B$33=$B13))&gt;0,1,0))</f>
        <v>0</v>
      </c>
      <c r="AW13" s="64" t="str" cm="1">
        <f t="array" ref="AW13">_xlfn.LET(_xlpm.raw,'Other analyst '!M13,_xlpm.mockNames,'Colin''s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Rueben Bain</v>
      </c>
      <c r="AX13">
        <f>IF(OR(AW13="",AW13=0),0,IF(OR(ISNUMBER(SEARCH(AW13,$C13)),ISNUMBER(SEARCH($C13,AW13))),1,0))</f>
        <v>0</v>
      </c>
      <c r="AY13" cm="1">
        <f t="array" ref="AY13">IF(OR(AW13="",AW13=0),0,IF(SUMPRODUCT(--(ISNUMBER(SEARCH(AW13,$C$2:$C$33))+ISNUMBER(SEARCH($C$2:$C$33,AW13))))&gt;0,1,0))</f>
        <v>1</v>
      </c>
      <c r="AZ13" cm="1">
        <f t="array" ref="AZ13">IF(OR(AW13="",AW13=0),0,IF(SUMPRODUCT((ISNUMBER(SEARCH(AW13,$C$2:$C$33))+ISNUMBER(SEARCH($C$2:$C$33,AW13)))*($B$2:$B$33=$B13))&gt;0,1,0))</f>
        <v>0</v>
      </c>
      <c r="BA13" s="64" t="str" cm="1">
        <f t="array" ref="BA13">_xlfn.LET(_xlpm.raw,'Other analyst '!N13,_xlpm.mockNames,'Colin''s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Spencer Fano</v>
      </c>
      <c r="BB13">
        <f>IF(OR(BA13="",BA13=0),0,IF(OR(ISNUMBER(SEARCH(BA13,$C13)),ISNUMBER(SEARCH($C13,BA13))),1,0))</f>
        <v>0</v>
      </c>
      <c r="BC13" cm="1">
        <f t="array" ref="BC13">IF(OR(BA13="",BA13=0),0,IF(SUMPRODUCT(--(ISNUMBER(SEARCH(BA13,$C$2:$C$33))+ISNUMBER(SEARCH($C$2:$C$33,BA13))))&gt;0,1,0))</f>
        <v>1</v>
      </c>
      <c r="BD13" cm="1">
        <f t="array" ref="BD13">IF(OR(BA13="",BA13=0),0,IF(SUMPRODUCT((ISNUMBER(SEARCH(BA13,$C$2:$C$33))+ISNUMBER(SEARCH($C$2:$C$33,BA13)))*($B$2:$B$33=$B13))&gt;0,1,0))</f>
        <v>0</v>
      </c>
      <c r="BE13" s="64" t="str" cm="1">
        <f t="array" ref="BE13">_xlfn.LET(_xlpm.raw,'Other analyst '!O13,_xlpm.mockNames,'Colin''s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Dillon Thieneman</v>
      </c>
      <c r="BF13">
        <f>IF(OR(BE13="",BE13=0),0,IF(OR(ISNUMBER(SEARCH(BE13,$C13)),ISNUMBER(SEARCH($C13,BE13))),1,0))</f>
        <v>0</v>
      </c>
      <c r="BG13" cm="1">
        <f t="array" ref="BG13">IF(OR(BE13="",BE13=0),0,IF(SUMPRODUCT(--(ISNUMBER(SEARCH(BE13,$C$2:$C$33))+ISNUMBER(SEARCH($C$2:$C$33,BE13))))&gt;0,1,0))</f>
        <v>1</v>
      </c>
      <c r="BH13" cm="1">
        <f t="array" ref="BH13">IF(OR(BE13="",BE13=0),0,IF(SUMPRODUCT((ISNUMBER(SEARCH(BE13,$C$2:$C$33))+ISNUMBER(SEARCH($C$2:$C$33,BE13)))*($B$2:$B$33=$B13))&gt;0,1,0))</f>
        <v>0</v>
      </c>
      <c r="BI13" s="64" t="str" cm="1">
        <f t="array" ref="BI13">_xlfn.LET(_xlpm.raw,'Other analyst '!P13,_xlpm.mockNames,'Colin''s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Keldric Faulk</v>
      </c>
      <c r="BJ13">
        <f>IF(OR(BI13="",BI13=0),0,IF(OR(ISNUMBER(SEARCH(BI13,$C13)),ISNUMBER(SEARCH($C13,BI13))),1,0))</f>
        <v>0</v>
      </c>
      <c r="BK13" cm="1">
        <f t="array" ref="BK13">IF(OR(BI13="",BI13=0),0,IF(SUMPRODUCT(--(ISNUMBER(SEARCH(BI13,$C$2:$C$33))+ISNUMBER(SEARCH($C$2:$C$33,BI13))))&gt;0,1,0))</f>
        <v>1</v>
      </c>
      <c r="BL13" cm="1">
        <f t="array" ref="BL13">IF(OR(BI13="",BI13=0),0,IF(SUMPRODUCT((ISNUMBER(SEARCH(BI13,$C$2:$C$33))+ISNUMBER(SEARCH($C$2:$C$33,BI13)))*($B$2:$B$33=$B13))&gt;0,1,0))</f>
        <v>0</v>
      </c>
      <c r="BM13" s="64" t="str" cm="1">
        <f t="array" ref="BM13">_xlfn.LET(_xlpm.raw,'Other analyst '!Q13,_xlpm.mockNames,'Colin''s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Mansoor Delane</v>
      </c>
      <c r="BN13">
        <f>IF(OR(BM13="",BM13=0),0,IF(OR(ISNUMBER(SEARCH(BM13,$C13)),ISNUMBER(SEARCH($C13,BM13))),1,0))</f>
        <v>0</v>
      </c>
      <c r="BO13" cm="1">
        <f t="array" ref="BO13">IF(OR(BM13="",BM13=0),0,IF(SUMPRODUCT(--(ISNUMBER(SEARCH(BM13,$C$2:$C$33))+ISNUMBER(SEARCH($C$2:$C$33,BM13))))&gt;0,1,0))</f>
        <v>1</v>
      </c>
      <c r="BP13" cm="1">
        <f t="array" ref="BP13">IF(OR(BM13="",BM13=0),0,IF(SUMPRODUCT((ISNUMBER(SEARCH(BM13,$C$2:$C$33))+ISNUMBER(SEARCH($C$2:$C$33,BM13)))*($B$2:$B$33=$B13))&gt;0,1,0))</f>
        <v>0</v>
      </c>
      <c r="BQ13" s="64" t="str" cm="1">
        <f t="array" ref="BQ13">_xlfn.LET(_xlpm.raw,'Other analyst '!R13,_xlpm.mockNames,'Colin''s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Downs</v>
      </c>
      <c r="BR13">
        <f>IF(OR(BQ13="",BQ13=0),0,IF(OR(ISNUMBER(SEARCH(BQ13,$C13)),ISNUMBER(SEARCH($C13,BQ13))),1,0))</f>
        <v>0</v>
      </c>
      <c r="BS13" cm="1">
        <f t="array" ref="BS13">IF(OR(BQ13="",BQ13=0),0,IF(SUMPRODUCT(--(ISNUMBER(SEARCH(BQ13,$C$2:$C$33))+ISNUMBER(SEARCH($C$2:$C$33,BQ13))))&gt;0,1,0))</f>
        <v>1</v>
      </c>
      <c r="BT13" cm="1">
        <f t="array" ref="BT13">IF(OR(BQ13="",BQ13=0),0,IF(SUMPRODUCT((ISNUMBER(SEARCH(BQ13,$C$2:$C$33))+ISNUMBER(SEARCH($C$2:$C$33,BQ13)))*($B$2:$B$33=$B13))&gt;0,1,0))</f>
        <v>0</v>
      </c>
      <c r="BU13" s="76" t="str">
        <f>'Colin Mock wTrade'!D13</f>
        <v>Spencer Fano</v>
      </c>
      <c r="BV13">
        <f>IF(BU13="",0,IF(OR(ISNUMBER(SEARCH(BU13,C13)),ISNUMBER(SEARCH(C13,BU13))),1,0))</f>
        <v>0</v>
      </c>
      <c r="BW13" cm="1">
        <f t="array" ref="BW13">IF(BU13="",0,IF(SUMPRODUCT(--(ISNUMBER(SEARCH(BU13,$C$2:$C$33))+ISNUMBER(SEARCH($C$2:$C$33,BU13))))&gt;0,1,0))</f>
        <v>1</v>
      </c>
      <c r="BX13" cm="1">
        <f t="array" ref="BX13">IF(BU13="",0,IFERROR(IF(SUMPRODUCT((ISNUMBER(SEARCH(BU13,$C$2:$C$33))+ISNUMBER(SEARCH($C$2:$C$33,BU13)))*($B$2:$B$33=VLOOKUP('Colin Mock wTrade'!C13,$CA$1:$CB$32,2,FALSE)))&gt;0,1,0),0))</f>
        <v>0</v>
      </c>
      <c r="CA13" t="s">
        <v>49</v>
      </c>
      <c r="CB13" t="s">
        <v>409</v>
      </c>
      <c r="CC13" t="str">
        <f>'Other analyst '!S13</f>
        <v>Jordyn Tyson</v>
      </c>
      <c r="CD13">
        <f t="shared" si="9"/>
        <v>0</v>
      </c>
      <c r="CE13" cm="1">
        <f t="array" ref="CE13">IF(CC13="",0,IF(SUMPRODUCT(--(ISNUMBER(SEARCH(CC13,$C$2:$C$33))+ISNUMBER(SEARCH($C$2:$C$33,CC13))))&gt;0,1,0))</f>
        <v>1</v>
      </c>
      <c r="CF13" cm="1">
        <f t="array" ref="CF13">IF(CC13="",0,IF(SUMPRODUCT((ISNUMBER(SEARCH(CC13,$C$2:$C$33))+ISNUMBER(SEARCH($C$2:$C$33,CC13)))*($B$2:$B$33=$B13))&gt;0,1,0))</f>
        <v>0</v>
      </c>
      <c r="CG13" t="str">
        <f>'Other analyst '!T13</f>
        <v>Spencer Fano</v>
      </c>
      <c r="CH13">
        <f t="shared" si="10"/>
        <v>0</v>
      </c>
      <c r="CI13" cm="1">
        <f t="array" ref="CI13">IF(CG13="",0,IF(SUMPRODUCT(--(ISNUMBER(SEARCH(CG13,$C$2:$C$33))+ISNUMBER(SEARCH($C$2:$C$33,CG13))))&gt;0,1,0))</f>
        <v>1</v>
      </c>
      <c r="CJ13" cm="1">
        <f t="array" ref="CJ13">IF(CG13="",0,IF(SUMPRODUCT((ISNUMBER(SEARCH(CG13,$C$2:$C$33))+ISNUMBER(SEARCH($C$2:$C$33,CG13)))*($B$2:$B$33=$B13))&gt;0,1,0))</f>
        <v>0</v>
      </c>
      <c r="CK13" t="str">
        <f>'Other analyst '!U13</f>
        <v>Spencer Fano</v>
      </c>
      <c r="CL13">
        <f t="shared" si="11"/>
        <v>0</v>
      </c>
      <c r="CM13" cm="1">
        <f t="array" ref="CM13">IF(CK13="",0,IF(SUMPRODUCT(--(ISNUMBER(SEARCH(CK13,$C$2:$C$33))+ISNUMBER(SEARCH($C$2:$C$33,CK13))))&gt;0,1,0))</f>
        <v>1</v>
      </c>
      <c r="CN13" cm="1">
        <f t="array" ref="CN13">IF(CK13="",0,IF(SUMPRODUCT((ISNUMBER(SEARCH(CK13,$C$2:$C$33))+ISNUMBER(SEARCH($C$2:$C$33,CK13)))*($B$2:$B$33=$B13))&gt;0,1,0))</f>
        <v>0</v>
      </c>
      <c r="CO13" t="str">
        <f>'Other analyst '!V13</f>
        <v>Sonny Styles</v>
      </c>
      <c r="CP13">
        <f t="shared" si="12"/>
        <v>0</v>
      </c>
      <c r="CQ13" cm="1">
        <f t="array" ref="CQ13">IF(CO13="",0,IF(SUMPRODUCT(--(ISNUMBER(SEARCH(CO13,$C$2:$C$33))+ISNUMBER(SEARCH($C$2:$C$33,CO13))))&gt;0,1,0))</f>
        <v>1</v>
      </c>
      <c r="CR13" cm="1">
        <f t="array" ref="CR13">IF(CO13="",0,IF(SUMPRODUCT((ISNUMBER(SEARCH(CO13,$C$2:$C$33))+ISNUMBER(SEARCH($C$2:$C$33,CO13)))*($B$2:$B$33=$B13))&gt;0,1,0))</f>
        <v>0</v>
      </c>
      <c r="CS13" s="36" t="str">
        <f>'Other analyst '!W13</f>
        <v>Rueben Bain Jr.</v>
      </c>
      <c r="CT13">
        <f t="shared" si="13"/>
        <v>0</v>
      </c>
      <c r="CU13" cm="1">
        <f t="array" ref="CU13">IF(CS13="",0,IF(SUMPRODUCT(--(ISNUMBER(SEARCH(CS13,$C$2:$C$33))+ISNUMBER(SEARCH($C$2:$C$33,CS13))))&gt;0,1,0))</f>
        <v>1</v>
      </c>
      <c r="CV13" cm="1">
        <f t="array" ref="CV13">IF(CS13="",0,IFERROR(IF(SUMPRODUCT((ISNUMBER(SEARCH(CS13,$C$2:$C$33))+ISNUMBER(SEARCH($C$2:$C$33,CS13)))*(ISNUMBER(SEARCH($B$2:$B$33,'Other analyst '!B13))+ISNUMBER(SEARCH('Other analyst '!B13,$B$2:$B$33))))&gt;0,1,0),0))</f>
        <v>0</v>
      </c>
      <c r="CW13" s="36" t="str">
        <f>'Other analyst '!AD13</f>
        <v>Jordyn Tyson</v>
      </c>
      <c r="CX13">
        <f t="shared" si="14"/>
        <v>0</v>
      </c>
      <c r="CY13" cm="1">
        <f t="array" ref="CY13">IF(CW13="",0,IF(SUMPRODUCT(--(ISNUMBER(SEARCH(CW13,$C$2:$C$33))+ISNUMBER(SEARCH($C$2:$C$33,CW13))))&gt;0,1,0))</f>
        <v>1</v>
      </c>
      <c r="CZ13" cm="1">
        <f t="array" ref="CZ13">IF(CW13="",0,IF(SUMPRODUCT((ISNUMBER(SEARCH(CW13,$C$2:$C$33))+ISNUMBER(SEARCH($C$2:$C$33,CW13)))*($B$2:$B$33=$B13))&gt;0,1,0))</f>
        <v>0</v>
      </c>
      <c r="DA13" s="78" t="str">
        <f>'Other analyst '!AE13</f>
        <v>Mansoor Delane</v>
      </c>
      <c r="DB13">
        <f t="shared" si="15"/>
        <v>0</v>
      </c>
      <c r="DC13" cm="1">
        <f t="array" ref="DC13">IF(DA13="",0,IF(SUMPRODUCT(--(ISNUMBER(SEARCH(DA13,$C$2:$C$33))+ISNUMBER(SEARCH($C$2:$C$33,DA13))))&gt;0,1,0))</f>
        <v>1</v>
      </c>
      <c r="DD13" cm="1">
        <f t="array" ref="DD13">IF(DA13="",0,IF(SUMPRODUCT((ISNUMBER(SEARCH(DA13,$C$2:$C$33))+ISNUMBER(SEARCH($C$2:$C$33,DA13)))*($B$2:$B$33=$B13))&gt;0,1,0))</f>
        <v>0</v>
      </c>
      <c r="DE13" s="36" t="str">
        <f>'Other analyst '!AF13</f>
        <v>Monroe Freeling</v>
      </c>
      <c r="DF13">
        <f t="shared" si="16"/>
        <v>0</v>
      </c>
      <c r="DG13" cm="1">
        <f t="array" ref="DG13">IF(DE13="",0,IF(SUMPRODUCT(--(ISNUMBER(SEARCH(DE13,$C$2:$C$33))+ISNUMBER(SEARCH($C$2:$C$33,DE13))))&gt;0,1,0))</f>
        <v>1</v>
      </c>
      <c r="DH13" cm="1">
        <f t="array" ref="DH13">IF(DE13="",0,IF(SUMPRODUCT((ISNUMBER(SEARCH(DE13,$C$2:$C$33))+ISNUMBER(SEARCH($C$2:$C$33,DE13)))*($B$2:$B$33=$B13))&gt;0,1,0))</f>
        <v>0</v>
      </c>
      <c r="DI13" s="36" t="str">
        <f>'Other analyst '!AG13</f>
        <v>Arvell Reese</v>
      </c>
      <c r="DJ13">
        <f t="shared" si="17"/>
        <v>0</v>
      </c>
      <c r="DK13" cm="1">
        <f t="array" ref="DK13">IF(DI13="",0,IF(SUMPRODUCT(--(ISNUMBER(SEARCH(DI13,$C$2:$C$33))+ISNUMBER(SEARCH($C$2:$C$33,DI13))))&gt;0,1,0))</f>
        <v>1</v>
      </c>
      <c r="DL13" cm="1">
        <f t="array" ref="DL13">IF(DI13="",0,IF(SUMPRODUCT((ISNUMBER(SEARCH(DI13,$C$2:$C$33))+ISNUMBER(SEARCH($C$2:$C$33,DI13)))*($B$2:$B$33=$B13))&gt;0,1,0))</f>
        <v>0</v>
      </c>
      <c r="DM13" s="36" t="str">
        <f>'Other analyst '!AB13</f>
        <v>Spencer Fano</v>
      </c>
      <c r="DN13">
        <f t="shared" si="18"/>
        <v>0</v>
      </c>
      <c r="DO13" cm="1">
        <f t="array" ref="DO13">IF(DM13="",0,IF(SUMPRODUCT(--(ISNUMBER(SEARCH(DM13,$C$2:$C$33))+ISNUMBER(SEARCH($C$2:$C$33,DM13))))&gt;0,1,0))</f>
        <v>1</v>
      </c>
      <c r="DP13" cm="1">
        <f t="array" ref="DP13">IF(DM13="",0,IFERROR(IF(SUMPRODUCT((ISNUMBER(SEARCH(DM13,$C$2:$C$33))+ISNUMBER(SEARCH($C$2:$C$33,DM13)))*(ISNUMBER(SEARCH($B$2:$B$33,'Other analyst '!B13))+ISNUMBER(SEARCH('Other analyst '!B13,$B$2:$B$33))))&gt;0,1,0),0))</f>
        <v>0</v>
      </c>
      <c r="DQ13" s="28" t="str">
        <f>'Other analyst '!AC13</f>
        <v>Jermod McCoy</v>
      </c>
      <c r="DR13">
        <f t="shared" si="19"/>
        <v>0</v>
      </c>
      <c r="DS13" cm="1">
        <f t="array" ref="DS13">IF(DQ13="",0,IF(SUMPRODUCT(--(ISNUMBER(SEARCH(DQ13,$C$2:$C$33))+ISNUMBER(SEARCH($C$2:$C$33,DQ13))))&gt;0,1,0))</f>
        <v>0</v>
      </c>
      <c r="DT13" cm="1">
        <f t="array" ref="DT13">IF(DQ13="",0,IFERROR(IF(SUMPRODUCT((ISNUMBER(SEARCH(DQ13,$C$2:$C$33))+ISNUMBER(SEARCH($C$2:$C$33,DQ13)))*(ISNUMBER(SEARCH($B$2:$B$33,'Other analyst '!B13))+ISNUMBER(SEARCH('Other analyst '!B13,$B$2:$B$33))))&gt;0,1,0),0))</f>
        <v>0</v>
      </c>
      <c r="DU13" t="str">
        <f>IFERROR(TRIM(LEFT(IF(ISNUMBER(SEARCH("]",'Other analyst '!X13)),MID('Other analyst '!X13,SEARCH("]",'Other analyst '!X13)+1,200),'Other analyst '!X13),IFERROR(SEARCH(" (",IF(ISNUMBER(SEARCH("]",'Other analyst '!X13)),MID('Other analyst '!X13,SEARCH("]",'Other analyst '!X13)+1,200),'Other analyst '!X13))-1,LEN('Other analyst '!X13)))),"")</f>
        <v>Sonny Styles</v>
      </c>
      <c r="DV13">
        <f>IF(DU13="",0,IF(OR(ISNUMBER(SEARCH(DU13,C13)),ISNUMBER(SEARCH(C13,DU13))),1,0))</f>
        <v>0</v>
      </c>
      <c r="DW13" cm="1">
        <f t="array" ref="DW13">IF(DU13="",0,IF(SUMPRODUCT((ISNUMBER(SEARCH(DU13,$C$2:$C$33))+ISNUMBER(SEARCH($C$2:$C$33,DU13))))&gt;0,1,0))</f>
        <v>1</v>
      </c>
      <c r="DX13">
        <v>0</v>
      </c>
      <c r="DY13" t="str">
        <f>IFERROR(TRIM(LEFT(IF(ISNUMBER(SEARCH("]",'Other analyst '!Y13)),MID('Other analyst '!Y13,SEARCH("]",'Other analyst '!Y13)+1,200),'Other analyst '!Y13),IFERROR(SEARCH(" (",IF(ISNUMBER(SEARCH("]",'Other analyst '!Y13)),MID('Other analyst '!Y13,SEARCH("]",'Other analyst '!Y13)+1,200),'Other analyst '!Y13))-1,LEN('Other analyst '!Y13)))),"")</f>
        <v>Caleb Downs</v>
      </c>
      <c r="DZ13">
        <f>IF(DY13="",0,IF(OR(ISNUMBER(SEARCH(DY13,C13)),ISNUMBER(SEARCH(C13,DY13))),1,0))</f>
        <v>0</v>
      </c>
      <c r="EA13" cm="1">
        <f t="array" ref="EA13">IF(DY13="",0,IF(SUMPRODUCT((ISNUMBER(SEARCH(DY13,$C$2:$C$33))+ISNUMBER(SEARCH($C$2:$C$33,DY13))))&gt;0,1,0))</f>
        <v>1</v>
      </c>
      <c r="EB13">
        <v>0</v>
      </c>
      <c r="EC13" t="str">
        <f>IFERROR(TRIM(LEFT(IF(ISNUMBER(SEARCH("]",'Other analyst '!Z13)),MID('Other analyst '!Z13,SEARCH("]",'Other analyst '!Z13)+1,200),'Other analyst '!Z13),IFERROR(SEARCH(" (",IF(ISNUMBER(SEARCH("]",'Other analyst '!Z13)),MID('Other analyst '!Z13,SEARCH("]",'Other analyst '!Z13)+1,200),'Other analyst '!Z13))-1,LEN('Other analyst '!Z13)))),"")</f>
        <v>Sonny Styles</v>
      </c>
      <c r="ED13">
        <f>IF(EC13="",0,IF(OR(ISNUMBER(SEARCH(EC13,C13)),ISNUMBER(SEARCH(C13,EC13))),1,0))</f>
        <v>0</v>
      </c>
      <c r="EE13" cm="1">
        <f t="array" ref="EE13">IF(EC13="",0,IF(SUMPRODUCT((ISNUMBER(SEARCH(EC13,$C$2:$C$33))+ISNUMBER(SEARCH($C$2:$C$33,EC13))))&gt;0,1,0))</f>
        <v>1</v>
      </c>
      <c r="EF13">
        <v>0</v>
      </c>
      <c r="EG13" t="str">
        <f>IFERROR(TRIM(LEFT(IF(ISNUMBER(SEARCH("]",'Other analyst '!AA13)),MID('Other analyst '!AA13,SEARCH("]",'Other analyst '!AA13)+1,200),'Other analyst '!AA13),IFERROR(SEARCH(" (",IF(ISNUMBER(SEARCH("]",'Other analyst '!AA13)),MID('Other analyst '!AA13,SEARCH("]",'Other analyst '!AA13)+1,200),'Other analyst '!AA13))-1,LEN('Other analyst '!AA13)))),"")</f>
        <v>Mansoor Delane</v>
      </c>
      <c r="EH13">
        <f>IF(EG13="",0,IF(OR(ISNUMBER(SEARCH(EG13,C13)),ISNUMBER(SEARCH(C13,EG13))),1,0))</f>
        <v>0</v>
      </c>
      <c r="EI13" cm="1">
        <f t="array" ref="EI13">IF(EG13="",0,IF(SUMPRODUCT((ISNUMBER(SEARCH(EG13,$C$2:$C$33))+ISNUMBER(SEARCH($C$2:$C$33,EG13))))&gt;0,1,0))</f>
        <v>1</v>
      </c>
      <c r="EJ13">
        <v>0</v>
      </c>
      <c r="EK13">
        <f>K13+L13+M13+N13+O13+P13+AF13+AI13+AL13+AP13+AT13+AX13+BB13+BF13+BJ13+BN13+BR13+BV13+CD13+CH13+CL13+CP13+CT13+DV13+DZ13+ED13+EH13+DN13+DR13+CX13+DB13+DF13+DJ13</f>
        <v>1</v>
      </c>
    </row>
    <row r="14" spans="1:141">
      <c r="A14" s="30">
        <v>13</v>
      </c>
      <c r="B14" s="30" t="str">
        <f>'Actual nfl first round'!C14</f>
        <v>Rams</v>
      </c>
      <c r="C14" s="31" t="str" cm="1">
        <f t="array" ref="C14">_xlfn.LET(_xlpm.actual, 'Actual nfl first round'!D14,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Ty Simpson</v>
      </c>
      <c r="D14" s="32" t="str">
        <f>'Colin''s Mock'!D14</f>
        <v>Makai Lemon</v>
      </c>
      <c r="E14" s="32" t="str">
        <f>_xlfn.LET(_xlpm.raw, 'Other analyst '!C14, _xlpm.s, IF(LEFT(_xlpm.raw,1)="[", MID(_xlpm.raw, FIND("] ",_xlpm.raw)+2, 999), _xlpm.raw), IFERROR(TRIM(LEFT(_xlpm.s, FIND(" (",_xlpm.s)-1)), _xlpm.raw))</f>
        <v>Spencer Fano</v>
      </c>
      <c r="F14" s="32" t="str">
        <f>_xlfn.LET(_xlpm.raw, 'Other analyst '!D14, _xlpm.s, IF(LEFT(_xlpm.raw,1)="[", MID(_xlpm.raw, FIND("] ",_xlpm.raw)+2, 999), _xlpm.raw), IFERROR(TRIM(LEFT(_xlpm.s, FIND(" (",_xlpm.s)-1)), _xlpm.raw))</f>
        <v>Makai Lemon</v>
      </c>
      <c r="G14" s="32" t="str">
        <f>_xlfn.LET(_xlpm.raw, 'Other analyst '!E14, _xlpm.s, IF(LEFT(_xlpm.raw,1)="[", MID(_xlpm.raw, FIND("] ",_xlpm.raw)+2, 999), _xlpm.raw), IFERROR(TRIM(LEFT(_xlpm.s, FIND(" (",_xlpm.s)-1)), _xlpm.raw))</f>
        <v>Kadyn Proctor</v>
      </c>
      <c r="H14" s="32" t="str">
        <f>_xlfn.LET(_xlpm.raw, 'Other analyst '!F14, _xlpm.s, IF(LEFT(_xlpm.raw,1)="[", MID(_xlpm.raw, FIND("] ",_xlpm.raw)+2, 999), _xlpm.raw), IFERROR(TRIM(LEFT(_xlpm.s, FIND(" (",_xlpm.s)-1)), _xlpm.raw))</f>
        <v>Makai Lemon</v>
      </c>
      <c r="I14" s="32" t="str">
        <f>_xlfn.LET(_xlpm.raw, 'Other analyst '!G14, _xlpm.s, IF(LEFT(_xlpm.raw,1)="[", MID(_xlpm.raw, FIND("] ",_xlpm.raw)+2, 999), _xlpm.raw), IFERROR(TRIM(LEFT(_xlpm.s, FIND(" (",_xlpm.s)-1)), _xlpm.raw))</f>
        <v>Makai Lemon</v>
      </c>
      <c r="K14" s="1">
        <f t="shared" si="0"/>
        <v>0</v>
      </c>
      <c r="L14" s="1">
        <f t="shared" si="1"/>
        <v>0</v>
      </c>
      <c r="M14" s="1">
        <f t="shared" si="2"/>
        <v>0</v>
      </c>
      <c r="N14" s="1">
        <f t="shared" si="3"/>
        <v>0</v>
      </c>
      <c r="O14" s="1">
        <f t="shared" si="4"/>
        <v>0</v>
      </c>
      <c r="P14" s="1">
        <f t="shared" si="5"/>
        <v>0</v>
      </c>
      <c r="Q14" s="1" cm="1">
        <f t="array" ref="Q14">IF(D14="", 0, IF(SUMPRODUCT(--(ISNUMBER(SEARCH(D14, $C$2:$C$33)) + ISNUMBER(SEARCH($C$2:$C$33, D14))))&gt;0, 1, 0))</f>
        <v>1</v>
      </c>
      <c r="R14" s="1" cm="1">
        <f t="array" ref="R14">IF(E14="", 0, IF(SUMPRODUCT(--(ISNUMBER(SEARCH(E14, $C$2:$C$33)) + ISNUMBER(SEARCH($C$2:$C$33, E14))))&gt;0, 1, 0))</f>
        <v>1</v>
      </c>
      <c r="S14" s="1" cm="1">
        <f t="array" ref="S14">IF(F14="", 0, IF(SUMPRODUCT(--(ISNUMBER(SEARCH(F14, $C$2:$C$33)) + ISNUMBER(SEARCH($C$2:$C$33, F14))))&gt;0, 1, 0))</f>
        <v>1</v>
      </c>
      <c r="T14" s="1" cm="1">
        <f t="array" ref="T14">IF(G14="", 0, IF(SUMPRODUCT(--(ISNUMBER(SEARCH(G14, $C$2:$C$33)) + ISNUMBER(SEARCH($C$2:$C$33, G14))))&gt;0, 1, 0))</f>
        <v>1</v>
      </c>
      <c r="U14" s="1" cm="1">
        <f t="array" ref="U14">IF(H14="", 0, IF(SUMPRODUCT(--(ISNUMBER(SEARCH(H14, $C$2:$C$33)) + ISNUMBER(SEARCH($C$2:$C$33, H14))))&gt;0, 1, 0))</f>
        <v>1</v>
      </c>
      <c r="V14" s="1" cm="1">
        <f t="array" ref="V14">IF(I14="", 0, IF(SUMPRODUCT(--(ISNUMBER(SEARCH(I14, $C$2:$C$33)) + ISNUMBER(SEARCH($C$2:$C$33, I14))))&gt;0, 1, 0))</f>
        <v>1</v>
      </c>
      <c r="W14" s="1" cm="1">
        <f t="array" ref="W14">IF(D14="",0,IF(SUMPRODUCT((ISNUMBER(SEARCH(D14,$C$2:$C$33))+ISNUMBER(SEARCH($C$2:$C$33,D14)))*($B$2:$B$33=$B14))&gt;0,1,0))</f>
        <v>0</v>
      </c>
      <c r="X14" s="1" cm="1">
        <f t="array" ref="X14">IF(E14="",0,IF(SUMPRODUCT((ISNUMBER(SEARCH(E14,$C$2:$C$33))+ISNUMBER(SEARCH($C$2:$C$33,E14)))*($B$2:$B$33=$B14))&gt;0,1,0))</f>
        <v>0</v>
      </c>
      <c r="Y14" s="1" cm="1">
        <f t="array" ref="Y14">IF(F14="",0,IF(SUMPRODUCT((ISNUMBER(SEARCH(F14,$C$2:$C$33))+ISNUMBER(SEARCH($C$2:$C$33,F14)))*($B$2:$B$33=$B14))&gt;0,1,0))</f>
        <v>0</v>
      </c>
      <c r="Z14" s="1" cm="1">
        <f t="array" ref="Z14">IF(G14="",0,IF(SUMPRODUCT((ISNUMBER(SEARCH(G14,$C$2:$C$33))+ISNUMBER(SEARCH($C$2:$C$33,G14)))*($B$2:$B$33=$B14))&gt;0,1,0))</f>
        <v>0</v>
      </c>
      <c r="AA14" s="1" cm="1">
        <f t="array" ref="AA14">IF(H14="",0,IF(SUMPRODUCT((ISNUMBER(SEARCH(H14,$C$2:$C$33))+ISNUMBER(SEARCH($C$2:$C$33,H14)))*($B$2:$B$33=$B14))&gt;0,1,0))</f>
        <v>0</v>
      </c>
      <c r="AB14" s="1" cm="1">
        <f t="array" ref="AB14">IF(I14="",0,IF(SUMPRODUCT((ISNUMBER(SEARCH(I14,$C$2:$C$33))+ISNUMBER(SEARCH($C$2:$C$33,I14)))*($B$2:$B$33=$B14))&gt;0,1,0))</f>
        <v>0</v>
      </c>
      <c r="AC14" s="36" t="s">
        <v>47</v>
      </c>
      <c r="AD14" s="36" t="s">
        <v>47</v>
      </c>
      <c r="AE14" s="36" t="s">
        <v>47</v>
      </c>
      <c r="AF14">
        <f t="shared" si="6"/>
        <v>0</v>
      </c>
      <c r="AG14" cm="1">
        <f t="array" ref="AG14">IF(AC14="",0,IF(SUMPRODUCT((ISNUMBER(SEARCH(AC14,$C$2:$C$33))+ISNUMBER(SEARCH($C$2:$C$33,AC14))))&gt;0,1,0))</f>
        <v>1</v>
      </c>
      <c r="AH14" cm="1">
        <f t="array" ref="AH14">IF(AC14="",0,IF(SUMPRODUCT((ISNUMBER(SEARCH(AC14,$C$2:$C$33))+ISNUMBER(SEARCH($C$2:$C$33,AC14)))*($B$2:$B$33=$B14))&gt;0,1,0))</f>
        <v>0</v>
      </c>
      <c r="AI14">
        <f t="shared" si="7"/>
        <v>0</v>
      </c>
      <c r="AJ14" cm="1">
        <f t="array" ref="AJ14">IF(AD14="",0,IF(SUMPRODUCT((ISNUMBER(SEARCH(AD14,$C$2:$C$33))+ISNUMBER(SEARCH($C$2:$C$33,AD14))))&gt;0,1,0))</f>
        <v>1</v>
      </c>
      <c r="AK14" cm="1">
        <f t="array" ref="AK14">IF(AD14="",0,IF(SUMPRODUCT((ISNUMBER(SEARCH(AD14,$C$2:$C$33))+ISNUMBER(SEARCH($C$2:$C$33,AD14)))*($B$2:$B$33=$B14))&gt;0,1,0))</f>
        <v>0</v>
      </c>
      <c r="AL14">
        <f t="shared" si="8"/>
        <v>0</v>
      </c>
      <c r="AM14" cm="1">
        <f t="array" ref="AM14">IF(AE14="",0,IF(SUMPRODUCT((ISNUMBER(SEARCH(AE14,$C$2:$C$33))+ISNUMBER(SEARCH($C$2:$C$33,AE14))))&gt;0,1,0))</f>
        <v>1</v>
      </c>
      <c r="AN14" cm="1">
        <f t="array" ref="AN14">IF(AE14="",0,IF(SUMPRODUCT((ISNUMBER(SEARCH(AE14,$C$2:$C$33))+ISNUMBER(SEARCH($C$2:$C$33,AE14)))*($B$2:$B$33=$B14))&gt;0,1,0))</f>
        <v>0</v>
      </c>
      <c r="AO14" s="64" t="str" cm="1">
        <f t="array" ref="AO14">_xlfn.LET(_xlpm.raw,'Other analyst '!K14,_xlpm.mockNames,'Colin''s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Kenyon Sadiq</v>
      </c>
      <c r="AP14">
        <f>IF(OR(AO14="",AO14=0),0,IF(OR(ISNUMBER(SEARCH(AO14,$C14)),ISNUMBER(SEARCH($C14,AO14))),1,0))</f>
        <v>0</v>
      </c>
      <c r="AQ14" cm="1">
        <f t="array" ref="AQ14">IF(OR(AO14="",AO14=0),0,IF(SUMPRODUCT(--(ISNUMBER(SEARCH(AO14,$C$2:$C$33))+ISNUMBER(SEARCH($C$2:$C$33,AO14))))&gt;0,1,0))</f>
        <v>1</v>
      </c>
      <c r="AR14" cm="1">
        <f t="array" ref="AR14">IF(OR(AO14="",AO14=0),0,IF(SUMPRODUCT((ISNUMBER(SEARCH(AO14,$C$2:$C$33))+ISNUMBER(SEARCH($C$2:$C$33,AO14)))*($B$2:$B$33=$B14))&gt;0,1,0))</f>
        <v>0</v>
      </c>
      <c r="AS14" s="65" t="str" cm="1">
        <f t="array" ref="AS14">_xlfn.LET(_xlpm.raw,'Other analyst '!L14,_xlpm.mockNames,'Colin''s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Denzel Boston</v>
      </c>
      <c r="AT14">
        <f>IF(OR(AS14="",AS14=0),0,IF(OR(ISNUMBER(SEARCH(AS14,$C14)),ISNUMBER(SEARCH($C14,AS14))),1,0))</f>
        <v>0</v>
      </c>
      <c r="AU14" cm="1">
        <f t="array" ref="AU14">IF(OR(AS14="",AS14=0),0,IF(SUMPRODUCT(--(ISNUMBER(SEARCH(AS14,$C$2:$C$33))+ISNUMBER(SEARCH($C$2:$C$33,AS14))))&gt;0,1,0))</f>
        <v>0</v>
      </c>
      <c r="AV14" cm="1">
        <f t="array" ref="AV14">IF(OR(AS14="",AS14=0),0,IF(SUMPRODUCT((ISNUMBER(SEARCH(AS14,$C$2:$C$33))+ISNUMBER(SEARCH($C$2:$C$33,AS14)))*($B$2:$B$33=$B14))&gt;0,1,0))</f>
        <v>0</v>
      </c>
      <c r="AW14" s="64" t="str" cm="1">
        <f t="array" ref="AW14">_xlfn.LET(_xlpm.raw,'Other analyst '!M14,_xlpm.mockNames,'Colin''s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KC Concepcion</v>
      </c>
      <c r="AX14">
        <f>IF(OR(AW14="",AW14=0),0,IF(OR(ISNUMBER(SEARCH(AW14,$C14)),ISNUMBER(SEARCH($C14,AW14))),1,0))</f>
        <v>0</v>
      </c>
      <c r="AY14" cm="1">
        <f t="array" ref="AY14">IF(OR(AW14="",AW14=0),0,IF(SUMPRODUCT(--(ISNUMBER(SEARCH(AW14,$C$2:$C$33))+ISNUMBER(SEARCH($C$2:$C$33,AW14))))&gt;0,1,0))</f>
        <v>1</v>
      </c>
      <c r="AZ14" cm="1">
        <f t="array" ref="AZ14">IF(OR(AW14="",AW14=0),0,IF(SUMPRODUCT((ISNUMBER(SEARCH(AW14,$C$2:$C$33))+ISNUMBER(SEARCH($C$2:$C$33,AW14)))*($B$2:$B$33=$B14))&gt;0,1,0))</f>
        <v>0</v>
      </c>
      <c r="BA14" s="64" t="str" cm="1">
        <f t="array" ref="BA14">_xlfn.LET(_xlpm.raw,'Other analyst '!N14,_xlpm.mockNames,'Colin''s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Monroe Freeling</v>
      </c>
      <c r="BB14">
        <f>IF(OR(BA14="",BA14=0),0,IF(OR(ISNUMBER(SEARCH(BA14,$C14)),ISNUMBER(SEARCH($C14,BA14))),1,0))</f>
        <v>0</v>
      </c>
      <c r="BC14" cm="1">
        <f t="array" ref="BC14">IF(OR(BA14="",BA14=0),0,IF(SUMPRODUCT(--(ISNUMBER(SEARCH(BA14,$C$2:$C$33))+ISNUMBER(SEARCH($C$2:$C$33,BA14))))&gt;0,1,0))</f>
        <v>1</v>
      </c>
      <c r="BD14" cm="1">
        <f t="array" ref="BD14">IF(OR(BA14="",BA14=0),0,IF(SUMPRODUCT((ISNUMBER(SEARCH(BA14,$C$2:$C$33))+ISNUMBER(SEARCH($C$2:$C$33,BA14)))*($B$2:$B$33=$B14))&gt;0,1,0))</f>
        <v>0</v>
      </c>
      <c r="BE14" s="64" t="str" cm="1">
        <f t="array" ref="BE14">_xlfn.LET(_xlpm.raw,'Other analyst '!O14,_xlpm.mockNames,'Colin''s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Spencer Fano</v>
      </c>
      <c r="BF14">
        <f>IF(OR(BE14="",BE14=0),0,IF(OR(ISNUMBER(SEARCH(BE14,$C14)),ISNUMBER(SEARCH($C14,BE14))),1,0))</f>
        <v>0</v>
      </c>
      <c r="BG14" cm="1">
        <f t="array" ref="BG14">IF(OR(BE14="",BE14=0),0,IF(SUMPRODUCT(--(ISNUMBER(SEARCH(BE14,$C$2:$C$33))+ISNUMBER(SEARCH($C$2:$C$33,BE14))))&gt;0,1,0))</f>
        <v>1</v>
      </c>
      <c r="BH14" cm="1">
        <f t="array" ref="BH14">IF(OR(BE14="",BE14=0),0,IF(SUMPRODUCT((ISNUMBER(SEARCH(BE14,$C$2:$C$33))+ISNUMBER(SEARCH($C$2:$C$33,BE14)))*($B$2:$B$33=$B14))&gt;0,1,0))</f>
        <v>0</v>
      </c>
      <c r="BI14" s="64" t="str" cm="1">
        <f t="array" ref="BI14">_xlfn.LET(_xlpm.raw,'Other analyst '!P14,_xlpm.mockNames,'Colin''s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Omar Cooper Jr.</v>
      </c>
      <c r="BJ14">
        <f>IF(OR(BI14="",BI14=0),0,IF(OR(ISNUMBER(SEARCH(BI14,$C14)),ISNUMBER(SEARCH($C14,BI14))),1,0))</f>
        <v>0</v>
      </c>
      <c r="BK14" cm="1">
        <f t="array" ref="BK14">IF(OR(BI14="",BI14=0),0,IF(SUMPRODUCT(--(ISNUMBER(SEARCH(BI14,$C$2:$C$33))+ISNUMBER(SEARCH($C$2:$C$33,BI14))))&gt;0,1,0))</f>
        <v>1</v>
      </c>
      <c r="BL14" cm="1">
        <f t="array" ref="BL14">IF(OR(BI14="",BI14=0),0,IF(SUMPRODUCT((ISNUMBER(SEARCH(BI14,$C$2:$C$33))+ISNUMBER(SEARCH($C$2:$C$33,BI14)))*($B$2:$B$33=$B14))&gt;0,1,0))</f>
        <v>0</v>
      </c>
      <c r="BM14" s="64" t="str" cm="1">
        <f t="array" ref="BM14">_xlfn.LET(_xlpm.raw,'Other analyst '!Q14,_xlpm.mockNames,'Colin''s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Makai Lemon</v>
      </c>
      <c r="BN14">
        <f>IF(OR(BM14="",BM14=0),0,IF(OR(ISNUMBER(SEARCH(BM14,$C14)),ISNUMBER(SEARCH($C14,BM14))),1,0))</f>
        <v>0</v>
      </c>
      <c r="BO14" cm="1">
        <f t="array" ref="BO14">IF(OR(BM14="",BM14=0),0,IF(SUMPRODUCT(--(ISNUMBER(SEARCH(BM14,$C$2:$C$33))+ISNUMBER(SEARCH($C$2:$C$33,BM14))))&gt;0,1,0))</f>
        <v>1</v>
      </c>
      <c r="BP14" cm="1">
        <f t="array" ref="BP14">IF(OR(BM14="",BM14=0),0,IF(SUMPRODUCT((ISNUMBER(SEARCH(BM14,$C$2:$C$33))+ISNUMBER(SEARCH($C$2:$C$33,BM14)))*($B$2:$B$33=$B14))&gt;0,1,0))</f>
        <v>0</v>
      </c>
      <c r="BQ14" s="17" t="str" cm="1">
        <f t="array" ref="BQ14">_xlfn.LET(_xlpm.raw,'Other analyst '!R14,_xlpm.mockNames,'Colin''s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Ty Simpson</v>
      </c>
      <c r="BR14">
        <f>IF(OR(BQ14="",BQ14=0),0,IF(OR(ISNUMBER(SEARCH(BQ14,$C14)),ISNUMBER(SEARCH($C14,BQ14))),1,0))</f>
        <v>1</v>
      </c>
      <c r="BS14" cm="1">
        <f t="array" ref="BS14">IF(OR(BQ14="",BQ14=0),0,IF(SUMPRODUCT(--(ISNUMBER(SEARCH(BQ14,$C$2:$C$33))+ISNUMBER(SEARCH($C$2:$C$33,BQ14))))&gt;0,1,0))</f>
        <v>1</v>
      </c>
      <c r="BT14" cm="1">
        <f t="array" ref="BT14">IF(OR(BQ14="",BQ14=0),0,IF(SUMPRODUCT((ISNUMBER(SEARCH(BQ14,$C$2:$C$33))+ISNUMBER(SEARCH($C$2:$C$33,BQ14)))*($B$2:$B$33=$B14))&gt;0,1,0))</f>
        <v>1</v>
      </c>
      <c r="BU14" s="76" t="str">
        <f>'Colin Mock wTrade'!D14</f>
        <v>Makai Lemon</v>
      </c>
      <c r="BV14">
        <f>IF(BU14="",0,IF(OR(ISNUMBER(SEARCH(BU14,C14)),ISNUMBER(SEARCH(C14,BU14))),1,0))</f>
        <v>0</v>
      </c>
      <c r="BW14" cm="1">
        <f t="array" ref="BW14">IF(BU14="",0,IF(SUMPRODUCT(--(ISNUMBER(SEARCH(BU14,$C$2:$C$33))+ISNUMBER(SEARCH($C$2:$C$33,BU14))))&gt;0,1,0))</f>
        <v>1</v>
      </c>
      <c r="BX14" cm="1">
        <f t="array" ref="BX14">IF(BU14="",0,IFERROR(IF(SUMPRODUCT((ISNUMBER(SEARCH(BU14,$C$2:$C$33))+ISNUMBER(SEARCH($C$2:$C$33,BU14)))*($B$2:$B$33=VLOOKUP('Colin Mock wTrade'!C14,$CA$1:$CB$32,2,FALSE)))&gt;0,1,0),0))</f>
        <v>0</v>
      </c>
      <c r="CA14" t="s">
        <v>53</v>
      </c>
      <c r="CB14" t="s">
        <v>411</v>
      </c>
      <c r="CC14" t="str">
        <f>'Other analyst '!S14</f>
        <v>Makai Lemon</v>
      </c>
      <c r="CD14">
        <f t="shared" si="9"/>
        <v>0</v>
      </c>
      <c r="CE14" cm="1">
        <f t="array" ref="CE14">IF(CC14="",0,IF(SUMPRODUCT(--(ISNUMBER(SEARCH(CC14,$C$2:$C$33))+ISNUMBER(SEARCH($C$2:$C$33,CC14))))&gt;0,1,0))</f>
        <v>1</v>
      </c>
      <c r="CF14" cm="1">
        <f t="array" ref="CF14">IF(CC14="",0,IF(SUMPRODUCT((ISNUMBER(SEARCH(CC14,$C$2:$C$33))+ISNUMBER(SEARCH($C$2:$C$33,CC14)))*($B$2:$B$33=$B14))&gt;0,1,0))</f>
        <v>0</v>
      </c>
      <c r="CG14" t="str">
        <f>'Other analyst '!T14</f>
        <v>Jordyn Tyson</v>
      </c>
      <c r="CH14">
        <f t="shared" si="10"/>
        <v>0</v>
      </c>
      <c r="CI14" cm="1">
        <f t="array" ref="CI14">IF(CG14="",0,IF(SUMPRODUCT(--(ISNUMBER(SEARCH(CG14,$C$2:$C$33))+ISNUMBER(SEARCH($C$2:$C$33,CG14))))&gt;0,1,0))</f>
        <v>1</v>
      </c>
      <c r="CJ14" cm="1">
        <f t="array" ref="CJ14">IF(CG14="",0,IF(SUMPRODUCT((ISNUMBER(SEARCH(CG14,$C$2:$C$33))+ISNUMBER(SEARCH($C$2:$C$33,CG14)))*($B$2:$B$33=$B14))&gt;0,1,0))</f>
        <v>0</v>
      </c>
      <c r="CK14" t="str">
        <f>'Other analyst '!U14</f>
        <v>Jordyn Tyson</v>
      </c>
      <c r="CL14">
        <f t="shared" si="11"/>
        <v>0</v>
      </c>
      <c r="CM14" cm="1">
        <f t="array" ref="CM14">IF(CK14="",0,IF(SUMPRODUCT(--(ISNUMBER(SEARCH(CK14,$C$2:$C$33))+ISNUMBER(SEARCH($C$2:$C$33,CK14))))&gt;0,1,0))</f>
        <v>1</v>
      </c>
      <c r="CN14" cm="1">
        <f t="array" ref="CN14">IF(CK14="",0,IF(SUMPRODUCT((ISNUMBER(SEARCH(CK14,$C$2:$C$33))+ISNUMBER(SEARCH($C$2:$C$33,CK14)))*($B$2:$B$33=$B14))&gt;0,1,0))</f>
        <v>0</v>
      </c>
      <c r="CO14" t="str">
        <f>'Other analyst '!V14</f>
        <v>Carnell Tate</v>
      </c>
      <c r="CP14">
        <f t="shared" si="12"/>
        <v>0</v>
      </c>
      <c r="CQ14" cm="1">
        <f t="array" ref="CQ14">IF(CO14="",0,IF(SUMPRODUCT(--(ISNUMBER(SEARCH(CO14,$C$2:$C$33))+ISNUMBER(SEARCH($C$2:$C$33,CO14))))&gt;0,1,0))</f>
        <v>1</v>
      </c>
      <c r="CR14" cm="1">
        <f t="array" ref="CR14">IF(CO14="",0,IF(SUMPRODUCT((ISNUMBER(SEARCH(CO14,$C$2:$C$33))+ISNUMBER(SEARCH($C$2:$C$33,CO14)))*($B$2:$B$33=$B14))&gt;0,1,0))</f>
        <v>0</v>
      </c>
      <c r="CS14" s="36" t="str">
        <f>'Other analyst '!W14</f>
        <v>Jordyn Tyson</v>
      </c>
      <c r="CT14">
        <f t="shared" si="13"/>
        <v>0</v>
      </c>
      <c r="CU14" cm="1">
        <f t="array" ref="CU14">IF(CS14="",0,IF(SUMPRODUCT(--(ISNUMBER(SEARCH(CS14,$C$2:$C$33))+ISNUMBER(SEARCH($C$2:$C$33,CS14))))&gt;0,1,0))</f>
        <v>1</v>
      </c>
      <c r="CV14" cm="1">
        <f t="array" ref="CV14">IF(CS14="",0,IFERROR(IF(SUMPRODUCT((ISNUMBER(SEARCH(CS14,$C$2:$C$33))+ISNUMBER(SEARCH($C$2:$C$33,CS14)))*(ISNUMBER(SEARCH($B$2:$B$33,'Other analyst '!B14))+ISNUMBER(SEARCH('Other analyst '!B14,$B$2:$B$33))))&gt;0,1,0),0))</f>
        <v>0</v>
      </c>
      <c r="CW14" s="36" t="str">
        <f>'Other analyst '!AD14</f>
        <v>Makai Lemon</v>
      </c>
      <c r="CX14">
        <f t="shared" si="14"/>
        <v>0</v>
      </c>
      <c r="CY14" cm="1">
        <f t="array" ref="CY14">IF(CW14="",0,IF(SUMPRODUCT(--(ISNUMBER(SEARCH(CW14,$C$2:$C$33))+ISNUMBER(SEARCH($C$2:$C$33,CW14))))&gt;0,1,0))</f>
        <v>1</v>
      </c>
      <c r="CZ14" cm="1">
        <f t="array" ref="CZ14">IF(CW14="",0,IF(SUMPRODUCT((ISNUMBER(SEARCH(CW14,$C$2:$C$33))+ISNUMBER(SEARCH($C$2:$C$33,CW14)))*($B$2:$B$33=$B14))&gt;0,1,0))</f>
        <v>0</v>
      </c>
      <c r="DA14" s="36" t="str">
        <f>'Other analyst '!AE14</f>
        <v>Francis Mauigoa</v>
      </c>
      <c r="DB14">
        <f t="shared" si="15"/>
        <v>0</v>
      </c>
      <c r="DC14" cm="1">
        <f t="array" ref="DC14">IF(DA14="",0,IF(SUMPRODUCT(--(ISNUMBER(SEARCH(DA14,$C$2:$C$33))+ISNUMBER(SEARCH($C$2:$C$33,DA14))))&gt;0,1,0))</f>
        <v>1</v>
      </c>
      <c r="DD14" cm="1">
        <f t="array" ref="DD14">IF(DA14="",0,IF(SUMPRODUCT((ISNUMBER(SEARCH(DA14,$C$2:$C$33))+ISNUMBER(SEARCH($C$2:$C$33,DA14)))*($B$2:$B$33=$B14))&gt;0,1,0))</f>
        <v>0</v>
      </c>
      <c r="DE14" s="36" t="str">
        <f>'Other analyst '!AF14</f>
        <v>Makai Lemon</v>
      </c>
      <c r="DF14">
        <f t="shared" si="16"/>
        <v>0</v>
      </c>
      <c r="DG14" cm="1">
        <f t="array" ref="DG14">IF(DE14="",0,IF(SUMPRODUCT(--(ISNUMBER(SEARCH(DE14,$C$2:$C$33))+ISNUMBER(SEARCH($C$2:$C$33,DE14))))&gt;0,1,0))</f>
        <v>1</v>
      </c>
      <c r="DH14" cm="1">
        <f t="array" ref="DH14">IF(DE14="",0,IF(SUMPRODUCT((ISNUMBER(SEARCH(DE14,$C$2:$C$33))+ISNUMBER(SEARCH($C$2:$C$33,DE14)))*($B$2:$B$33=$B14))&gt;0,1,0))</f>
        <v>0</v>
      </c>
      <c r="DI14" s="36" t="str">
        <f>'Other analyst '!AG14</f>
        <v>Makai Lemon</v>
      </c>
      <c r="DJ14">
        <f t="shared" si="17"/>
        <v>0</v>
      </c>
      <c r="DK14" cm="1">
        <f t="array" ref="DK14">IF(DI14="",0,IF(SUMPRODUCT(--(ISNUMBER(SEARCH(DI14,$C$2:$C$33))+ISNUMBER(SEARCH($C$2:$C$33,DI14))))&gt;0,1,0))</f>
        <v>1</v>
      </c>
      <c r="DL14" cm="1">
        <f t="array" ref="DL14">IF(DI14="",0,IF(SUMPRODUCT((ISNUMBER(SEARCH(DI14,$C$2:$C$33))+ISNUMBER(SEARCH($C$2:$C$33,DI14)))*($B$2:$B$33=$B14))&gt;0,1,0))</f>
        <v>0</v>
      </c>
      <c r="DM14" s="36" t="str">
        <f>'Other analyst '!AB14</f>
        <v>Makai Lemon</v>
      </c>
      <c r="DN14">
        <f t="shared" si="18"/>
        <v>0</v>
      </c>
      <c r="DO14" cm="1">
        <f t="array" ref="DO14">IF(DM14="",0,IF(SUMPRODUCT(--(ISNUMBER(SEARCH(DM14,$C$2:$C$33))+ISNUMBER(SEARCH($C$2:$C$33,DM14))))&gt;0,1,0))</f>
        <v>1</v>
      </c>
      <c r="DP14" cm="1">
        <f t="array" ref="DP14">IF(DM14="",0,IFERROR(IF(SUMPRODUCT((ISNUMBER(SEARCH(DM14,$C$2:$C$33))+ISNUMBER(SEARCH($C$2:$C$33,DM14)))*(ISNUMBER(SEARCH($B$2:$B$33,'Other analyst '!B14))+ISNUMBER(SEARCH('Other analyst '!B14,$B$2:$B$33))))&gt;0,1,0),0))</f>
        <v>0</v>
      </c>
      <c r="DQ14" s="36" t="str">
        <f>'Other analyst '!AC14</f>
        <v>Makai Lemon</v>
      </c>
      <c r="DR14">
        <f t="shared" si="19"/>
        <v>0</v>
      </c>
      <c r="DS14" cm="1">
        <f t="array" ref="DS14">IF(DQ14="",0,IF(SUMPRODUCT(--(ISNUMBER(SEARCH(DQ14,$C$2:$C$33))+ISNUMBER(SEARCH($C$2:$C$33,DQ14))))&gt;0,1,0))</f>
        <v>1</v>
      </c>
      <c r="DT14" cm="1">
        <f t="array" ref="DT14">IF(DQ14="",0,IFERROR(IF(SUMPRODUCT((ISNUMBER(SEARCH(DQ14,$C$2:$C$33))+ISNUMBER(SEARCH($C$2:$C$33,DQ14)))*(ISNUMBER(SEARCH($B$2:$B$33,'Other analyst '!B14))+ISNUMBER(SEARCH('Other analyst '!B14,$B$2:$B$33))))&gt;0,1,0),0))</f>
        <v>0</v>
      </c>
      <c r="DU14" t="str">
        <f>IFERROR(TRIM(LEFT(IF(ISNUMBER(SEARCH("]",'Other analyst '!X14)),MID('Other analyst '!X14,SEARCH("]",'Other analyst '!X14)+1,200),'Other analyst '!X14),IFERROR(SEARCH(" (",IF(ISNUMBER(SEARCH("]",'Other analyst '!X14)),MID('Other analyst '!X14,SEARCH("]",'Other analyst '!X14)+1,200),'Other analyst '!X14))-1,LEN('Other analyst '!X14)))),"")</f>
        <v>Makai Lemon</v>
      </c>
      <c r="DV14">
        <f>IF(DU14="",0,IF(OR(ISNUMBER(SEARCH(DU14,C14)),ISNUMBER(SEARCH(C14,DU14))),1,0))</f>
        <v>0</v>
      </c>
      <c r="DW14" cm="1">
        <f t="array" ref="DW14">IF(DU14="",0,IF(SUMPRODUCT((ISNUMBER(SEARCH(DU14,$C$2:$C$33))+ISNUMBER(SEARCH($C$2:$C$33,DU14))))&gt;0,1,0))</f>
        <v>1</v>
      </c>
      <c r="DX14">
        <v>0</v>
      </c>
      <c r="DY14" t="str">
        <f>IFERROR(TRIM(LEFT(IF(ISNUMBER(SEARCH("]",'Other analyst '!Y14)),MID('Other analyst '!Y14,SEARCH("]",'Other analyst '!Y14)+1,200),'Other analyst '!Y14),IFERROR(SEARCH(" (",IF(ISNUMBER(SEARCH("]",'Other analyst '!Y14)),MID('Other analyst '!Y14,SEARCH("]",'Other analyst '!Y14)+1,200),'Other analyst '!Y14))-1,LEN('Other analyst '!Y14)))),"")</f>
        <v>Makai Lemon</v>
      </c>
      <c r="DZ14">
        <f>IF(DY14="",0,IF(OR(ISNUMBER(SEARCH(DY14,C14)),ISNUMBER(SEARCH(C14,DY14))),1,0))</f>
        <v>0</v>
      </c>
      <c r="EA14" cm="1">
        <f t="array" ref="EA14">IF(DY14="",0,IF(SUMPRODUCT((ISNUMBER(SEARCH(DY14,$C$2:$C$33))+ISNUMBER(SEARCH($C$2:$C$33,DY14))))&gt;0,1,0))</f>
        <v>1</v>
      </c>
      <c r="EB14">
        <v>0</v>
      </c>
      <c r="EC14" t="str">
        <f>IFERROR(TRIM(LEFT(IF(ISNUMBER(SEARCH("]",'Other analyst '!Z14)),MID('Other analyst '!Z14,SEARCH("]",'Other analyst '!Z14)+1,200),'Other analyst '!Z14),IFERROR(SEARCH(" (",IF(ISNUMBER(SEARCH("]",'Other analyst '!Z14)),MID('Other analyst '!Z14,SEARCH("]",'Other analyst '!Z14)+1,200),'Other analyst '!Z14))-1,LEN('Other analyst '!Z14)))),"")</f>
        <v>Spencer Fano</v>
      </c>
      <c r="ED14">
        <f>IF(EC14="",0,IF(OR(ISNUMBER(SEARCH(EC14,C14)),ISNUMBER(SEARCH(C14,EC14))),1,0))</f>
        <v>0</v>
      </c>
      <c r="EE14" cm="1">
        <f t="array" ref="EE14">IF(EC14="",0,IF(SUMPRODUCT((ISNUMBER(SEARCH(EC14,$C$2:$C$33))+ISNUMBER(SEARCH($C$2:$C$33,EC14))))&gt;0,1,0))</f>
        <v>1</v>
      </c>
      <c r="EF14">
        <v>0</v>
      </c>
      <c r="EG14" t="str">
        <f>IFERROR(TRIM(LEFT(IF(ISNUMBER(SEARCH("]",'Other analyst '!AA14)),MID('Other analyst '!AA14,SEARCH("]",'Other analyst '!AA14)+1,200),'Other analyst '!AA14),IFERROR(SEARCH(" (",IF(ISNUMBER(SEARCH("]",'Other analyst '!AA14)),MID('Other analyst '!AA14,SEARCH("]",'Other analyst '!AA14)+1,200),'Other analyst '!AA14))-1,LEN('Other analyst '!AA14)))),"")</f>
        <v>Carnell Tate</v>
      </c>
      <c r="EH14">
        <f>IF(EG14="",0,IF(OR(ISNUMBER(SEARCH(EG14,C14)),ISNUMBER(SEARCH(C14,EG14))),1,0))</f>
        <v>0</v>
      </c>
      <c r="EI14" cm="1">
        <f t="array" ref="EI14">IF(EG14="",0,IF(SUMPRODUCT((ISNUMBER(SEARCH(EG14,$C$2:$C$33))+ISNUMBER(SEARCH($C$2:$C$33,EG14))))&gt;0,1,0))</f>
        <v>1</v>
      </c>
      <c r="EJ14">
        <v>0</v>
      </c>
      <c r="EK14">
        <f>K14+L14+M14+N14+O14+P14+AF14+AI14+AL14+AP14+AT14+AX14+BB14+BF14+BJ14+BN14+BR14+BV14+CD14+CH14+CL14+CP14+CT14+DV14+DZ14+ED14+EH14+DN14+DR14+CX14+DB14+DF14+DJ14</f>
        <v>1</v>
      </c>
    </row>
    <row r="15" spans="1:141">
      <c r="A15" s="30">
        <v>14</v>
      </c>
      <c r="B15" s="30" t="str">
        <f>'Actual nfl first round'!C15</f>
        <v>Ravens</v>
      </c>
      <c r="C15" s="31" t="str" cm="1">
        <f t="array" ref="C15">_xlfn.LET(_xlpm.actual, 'Actual nfl first round'!D15,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Olaivavega Ioane</v>
      </c>
      <c r="D15" s="32" t="str">
        <f>'Colin''s Mock'!D15</f>
        <v>Olaivavega Ioane</v>
      </c>
      <c r="E15" s="32" t="str">
        <f>_xlfn.LET(_xlpm.raw, 'Other analyst '!C15, _xlpm.s, IF(LEFT(_xlpm.raw,1)="[", MID(_xlpm.raw, FIND("] ",_xlpm.raw)+2, 999), _xlpm.raw), IFERROR(TRIM(LEFT(_xlpm.s, FIND(" (",_xlpm.s)-1)), _xlpm.raw))</f>
        <v>Rueben Bain Jr.</v>
      </c>
      <c r="F15" s="32" t="str">
        <f>_xlfn.LET(_xlpm.raw, 'Other analyst '!D15, _xlpm.s, IF(LEFT(_xlpm.raw,1)="[", MID(_xlpm.raw, FIND("] ",_xlpm.raw)+2, 999), _xlpm.raw), IFERROR(TRIM(LEFT(_xlpm.s, FIND(" (",_xlpm.s)-1)), _xlpm.raw))</f>
        <v>Spencer Fano</v>
      </c>
      <c r="G15" s="32" t="str">
        <f>_xlfn.LET(_xlpm.raw, 'Other analyst '!E15, _xlpm.s, IF(LEFT(_xlpm.raw,1)="[", MID(_xlpm.raw, FIND("] ",_xlpm.raw)+2, 999), _xlpm.raw), IFERROR(TRIM(LEFT(_xlpm.s, FIND(" (",_xlpm.s)-1)), _xlpm.raw))</f>
        <v>Olaivavega Ioane</v>
      </c>
      <c r="H15" s="32" t="str">
        <f>_xlfn.LET(_xlpm.raw, 'Other analyst '!F15, _xlpm.s, IF(LEFT(_xlpm.raw,1)="[", MID(_xlpm.raw, FIND("] ",_xlpm.raw)+2, 999), _xlpm.raw), IFERROR(TRIM(LEFT(_xlpm.s, FIND(" (",_xlpm.s)-1)), _xlpm.raw))</f>
        <v>Olaivavega Ioane</v>
      </c>
      <c r="I15" s="32" t="str">
        <f>_xlfn.LET(_xlpm.raw, 'Other analyst '!G15, _xlpm.s, IF(LEFT(_xlpm.raw,1)="[", MID(_xlpm.raw, FIND("] ",_xlpm.raw)+2, 999), _xlpm.raw), IFERROR(TRIM(LEFT(_xlpm.s, FIND(" (",_xlpm.s)-1)), _xlpm.raw))</f>
        <v>Olaivavega Ioane</v>
      </c>
      <c r="K15" s="1">
        <f t="shared" si="0"/>
        <v>1</v>
      </c>
      <c r="L15" s="1">
        <f t="shared" si="1"/>
        <v>0</v>
      </c>
      <c r="M15" s="1">
        <f t="shared" si="2"/>
        <v>0</v>
      </c>
      <c r="N15" s="1">
        <f t="shared" si="3"/>
        <v>1</v>
      </c>
      <c r="O15" s="1">
        <f t="shared" si="4"/>
        <v>1</v>
      </c>
      <c r="P15" s="1">
        <f t="shared" si="5"/>
        <v>1</v>
      </c>
      <c r="Q15" s="1" cm="1">
        <f t="array" ref="Q15">IF(D15="", 0, IF(SUMPRODUCT(--(ISNUMBER(SEARCH(D15, $C$2:$C$33)) + ISNUMBER(SEARCH($C$2:$C$33, D15))))&gt;0, 1, 0))</f>
        <v>1</v>
      </c>
      <c r="R15" s="1" cm="1">
        <f t="array" ref="R15">IF(E15="", 0, IF(SUMPRODUCT(--(ISNUMBER(SEARCH(E15, $C$2:$C$33)) + ISNUMBER(SEARCH($C$2:$C$33, E15))))&gt;0, 1, 0))</f>
        <v>1</v>
      </c>
      <c r="S15" s="1" cm="1">
        <f t="array" ref="S15">IF(F15="", 0, IF(SUMPRODUCT(--(ISNUMBER(SEARCH(F15, $C$2:$C$33)) + ISNUMBER(SEARCH($C$2:$C$33, F15))))&gt;0, 1, 0))</f>
        <v>1</v>
      </c>
      <c r="T15" s="1" cm="1">
        <f t="array" ref="T15">IF(G15="", 0, IF(SUMPRODUCT(--(ISNUMBER(SEARCH(G15, $C$2:$C$33)) + ISNUMBER(SEARCH($C$2:$C$33, G15))))&gt;0, 1, 0))</f>
        <v>1</v>
      </c>
      <c r="U15" s="1" cm="1">
        <f t="array" ref="U15">IF(H15="", 0, IF(SUMPRODUCT(--(ISNUMBER(SEARCH(H15, $C$2:$C$33)) + ISNUMBER(SEARCH($C$2:$C$33, H15))))&gt;0, 1, 0))</f>
        <v>1</v>
      </c>
      <c r="V15" s="1" cm="1">
        <f t="array" ref="V15">IF(I15="", 0, IF(SUMPRODUCT(--(ISNUMBER(SEARCH(I15, $C$2:$C$33)) + ISNUMBER(SEARCH($C$2:$C$33, I15))))&gt;0, 1, 0))</f>
        <v>1</v>
      </c>
      <c r="W15" s="1" cm="1">
        <f t="array" ref="W15">IF(D15="",0,IF(SUMPRODUCT((ISNUMBER(SEARCH(D15,$C$2:$C$33))+ISNUMBER(SEARCH($C$2:$C$33,D15)))*($B$2:$B$33=$B15))&gt;0,1,0))</f>
        <v>1</v>
      </c>
      <c r="X15" s="1" cm="1">
        <f t="array" ref="X15">IF(E15="",0,IF(SUMPRODUCT((ISNUMBER(SEARCH(E15,$C$2:$C$33))+ISNUMBER(SEARCH($C$2:$C$33,E15)))*($B$2:$B$33=$B15))&gt;0,1,0))</f>
        <v>0</v>
      </c>
      <c r="Y15" s="1" cm="1">
        <f t="array" ref="Y15">IF(F15="",0,IF(SUMPRODUCT((ISNUMBER(SEARCH(F15,$C$2:$C$33))+ISNUMBER(SEARCH($C$2:$C$33,F15)))*($B$2:$B$33=$B15))&gt;0,1,0))</f>
        <v>0</v>
      </c>
      <c r="Z15" s="1" cm="1">
        <f t="array" ref="Z15">IF(G15="",0,IF(SUMPRODUCT((ISNUMBER(SEARCH(G15,$C$2:$C$33))+ISNUMBER(SEARCH($C$2:$C$33,G15)))*($B$2:$B$33=$B15))&gt;0,1,0))</f>
        <v>1</v>
      </c>
      <c r="AA15" s="1" cm="1">
        <f t="array" ref="AA15">IF(H15="",0,IF(SUMPRODUCT((ISNUMBER(SEARCH(H15,$C$2:$C$33))+ISNUMBER(SEARCH($C$2:$C$33,H15)))*($B$2:$B$33=$B15))&gt;0,1,0))</f>
        <v>1</v>
      </c>
      <c r="AB15" s="1" cm="1">
        <f t="array" ref="AB15">IF(I15="",0,IF(SUMPRODUCT((ISNUMBER(SEARCH(I15,$C$2:$C$33))+ISNUMBER(SEARCH($C$2:$C$33,I15)))*($B$2:$B$33=$B15))&gt;0,1,0))</f>
        <v>1</v>
      </c>
      <c r="AC15" s="36" t="s">
        <v>54</v>
      </c>
      <c r="AD15" s="35" t="s">
        <v>50</v>
      </c>
      <c r="AE15" s="36" t="s">
        <v>54</v>
      </c>
      <c r="AF15">
        <f t="shared" si="6"/>
        <v>0</v>
      </c>
      <c r="AG15" cm="1">
        <f t="array" ref="AG15">IF(AC15="",0,IF(SUMPRODUCT((ISNUMBER(SEARCH(AC15,$C$2:$C$33))+ISNUMBER(SEARCH($C$2:$C$33,AC15))))&gt;0,1,0))</f>
        <v>1</v>
      </c>
      <c r="AH15" cm="1">
        <f t="array" ref="AH15">IF(AC15="",0,IF(SUMPRODUCT((ISNUMBER(SEARCH(AC15,$C$2:$C$33))+ISNUMBER(SEARCH($C$2:$C$33,AC15)))*($B$2:$B$33=$B15))&gt;0,1,0))</f>
        <v>0</v>
      </c>
      <c r="AI15">
        <f t="shared" si="7"/>
        <v>1</v>
      </c>
      <c r="AJ15" cm="1">
        <f t="array" ref="AJ15">IF(AD15="",0,IF(SUMPRODUCT((ISNUMBER(SEARCH(AD15,$C$2:$C$33))+ISNUMBER(SEARCH($C$2:$C$33,AD15))))&gt;0,1,0))</f>
        <v>1</v>
      </c>
      <c r="AK15" cm="1">
        <f t="array" ref="AK15">IF(AD15="",0,IF(SUMPRODUCT((ISNUMBER(SEARCH(AD15,$C$2:$C$33))+ISNUMBER(SEARCH($C$2:$C$33,AD15)))*($B$2:$B$33=$B15))&gt;0,1,0))</f>
        <v>1</v>
      </c>
      <c r="AL15">
        <f t="shared" si="8"/>
        <v>0</v>
      </c>
      <c r="AM15" cm="1">
        <f t="array" ref="AM15">IF(AE15="",0,IF(SUMPRODUCT((ISNUMBER(SEARCH(AE15,$C$2:$C$33))+ISNUMBER(SEARCH($C$2:$C$33,AE15))))&gt;0,1,0))</f>
        <v>1</v>
      </c>
      <c r="AN15" cm="1">
        <f t="array" ref="AN15">IF(AE15="",0,IF(SUMPRODUCT((ISNUMBER(SEARCH(AE15,$C$2:$C$33))+ISNUMBER(SEARCH($C$2:$C$33,AE15)))*($B$2:$B$33=$B15))&gt;0,1,0))</f>
        <v>0</v>
      </c>
      <c r="AO15" s="17" t="str" cm="1">
        <f t="array" ref="AO15">_xlfn.LET(_xlpm.raw,'Other analyst '!K15,_xlpm.mockNames,'Colin''s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Olaivavega Ioane</v>
      </c>
      <c r="AP15">
        <f>IF(OR(AO15="",AO15=0),0,IF(OR(ISNUMBER(SEARCH(AO15,$C15)),ISNUMBER(SEARCH($C15,AO15))),1,0))</f>
        <v>1</v>
      </c>
      <c r="AQ15" cm="1">
        <f t="array" ref="AQ15">IF(OR(AO15="",AO15=0),0,IF(SUMPRODUCT(--(ISNUMBER(SEARCH(AO15,$C$2:$C$33))+ISNUMBER(SEARCH($C$2:$C$33,AO15))))&gt;0,1,0))</f>
        <v>1</v>
      </c>
      <c r="AR15" cm="1">
        <f t="array" ref="AR15">IF(OR(AO15="",AO15=0),0,IF(SUMPRODUCT((ISNUMBER(SEARCH(AO15,$C$2:$C$33))+ISNUMBER(SEARCH($C$2:$C$33,AO15)))*($B$2:$B$33=$B15))&gt;0,1,0))</f>
        <v>1</v>
      </c>
      <c r="AS15" s="64" t="str" cm="1">
        <f t="array" ref="AS15">_xlfn.LET(_xlpm.raw,'Other analyst '!L15,_xlpm.mockNames,'Colin''s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Spencer Fano</v>
      </c>
      <c r="AT15">
        <f>IF(OR(AS15="",AS15=0),0,IF(OR(ISNUMBER(SEARCH(AS15,$C15)),ISNUMBER(SEARCH($C15,AS15))),1,0))</f>
        <v>0</v>
      </c>
      <c r="AU15" cm="1">
        <f t="array" ref="AU15">IF(OR(AS15="",AS15=0),0,IF(SUMPRODUCT(--(ISNUMBER(SEARCH(AS15,$C$2:$C$33))+ISNUMBER(SEARCH($C$2:$C$33,AS15))))&gt;0,1,0))</f>
        <v>1</v>
      </c>
      <c r="AV15" cm="1">
        <f t="array" ref="AV15">IF(OR(AS15="",AS15=0),0,IF(SUMPRODUCT((ISNUMBER(SEARCH(AS15,$C$2:$C$33))+ISNUMBER(SEARCH($C$2:$C$33,AS15)))*($B$2:$B$33=$B15))&gt;0,1,0))</f>
        <v>0</v>
      </c>
      <c r="AW15" s="64" t="str" cm="1">
        <f t="array" ref="AW15">_xlfn.LET(_xlpm.raw,'Other analyst '!M15,_xlpm.mockNames,'Colin''s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Kenyon Sadiq</v>
      </c>
      <c r="AX15">
        <f>IF(OR(AW15="",AW15=0),0,IF(OR(ISNUMBER(SEARCH(AW15,$C15)),ISNUMBER(SEARCH($C15,AW15))),1,0))</f>
        <v>0</v>
      </c>
      <c r="AY15" cm="1">
        <f t="array" ref="AY15">IF(OR(AW15="",AW15=0),0,IF(SUMPRODUCT(--(ISNUMBER(SEARCH(AW15,$C$2:$C$33))+ISNUMBER(SEARCH($C$2:$C$33,AW15))))&gt;0,1,0))</f>
        <v>1</v>
      </c>
      <c r="AZ15" cm="1">
        <f t="array" ref="AZ15">IF(OR(AW15="",AW15=0),0,IF(SUMPRODUCT((ISNUMBER(SEARCH(AW15,$C$2:$C$33))+ISNUMBER(SEARCH($C$2:$C$33,AW15)))*($B$2:$B$33=$B15))&gt;0,1,0))</f>
        <v>0</v>
      </c>
      <c r="BA15" s="17" t="str" cm="1">
        <f t="array" ref="BA15">_xlfn.LET(_xlpm.raw,'Other analyst '!N15,_xlpm.mockNames,'Colin''s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Olaivavega Ioane</v>
      </c>
      <c r="BB15">
        <f>IF(OR(BA15="",BA15=0),0,IF(OR(ISNUMBER(SEARCH(BA15,$C15)),ISNUMBER(SEARCH($C15,BA15))),1,0))</f>
        <v>1</v>
      </c>
      <c r="BC15" cm="1">
        <f t="array" ref="BC15">IF(OR(BA15="",BA15=0),0,IF(SUMPRODUCT(--(ISNUMBER(SEARCH(BA15,$C$2:$C$33))+ISNUMBER(SEARCH($C$2:$C$33,BA15))))&gt;0,1,0))</f>
        <v>1</v>
      </c>
      <c r="BD15" cm="1">
        <f t="array" ref="BD15">IF(OR(BA15="",BA15=0),0,IF(SUMPRODUCT((ISNUMBER(SEARCH(BA15,$C$2:$C$33))+ISNUMBER(SEARCH($C$2:$C$33,BA15)))*($B$2:$B$33=$B15))&gt;0,1,0))</f>
        <v>1</v>
      </c>
      <c r="BE15" s="17" t="str" cm="1">
        <f t="array" ref="BE15">_xlfn.LET(_xlpm.raw,'Other analyst '!O15,_xlpm.mockNames,'Colin''s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Olaivavega Ioane</v>
      </c>
      <c r="BF15">
        <f>IF(OR(BE15="",BE15=0),0,IF(OR(ISNUMBER(SEARCH(BE15,$C15)),ISNUMBER(SEARCH($C15,BE15))),1,0))</f>
        <v>1</v>
      </c>
      <c r="BG15" cm="1">
        <f t="array" ref="BG15">IF(OR(BE15="",BE15=0),0,IF(SUMPRODUCT(--(ISNUMBER(SEARCH(BE15,$C$2:$C$33))+ISNUMBER(SEARCH($C$2:$C$33,BE15))))&gt;0,1,0))</f>
        <v>1</v>
      </c>
      <c r="BH15" cm="1">
        <f t="array" ref="BH15">IF(OR(BE15="",BE15=0),0,IF(SUMPRODUCT((ISNUMBER(SEARCH(BE15,$C$2:$C$33))+ISNUMBER(SEARCH($C$2:$C$33,BE15)))*($B$2:$B$33=$B15))&gt;0,1,0))</f>
        <v>1</v>
      </c>
      <c r="BI15" s="64" t="str" cm="1">
        <f t="array" ref="BI15">_xlfn.LET(_xlpm.raw,'Other analyst '!P15,_xlpm.mockNames,'Colin''s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Spencer Fano</v>
      </c>
      <c r="BJ15">
        <f>IF(OR(BI15="",BI15=0),0,IF(OR(ISNUMBER(SEARCH(BI15,$C15)),ISNUMBER(SEARCH($C15,BI15))),1,0))</f>
        <v>0</v>
      </c>
      <c r="BK15" cm="1">
        <f t="array" ref="BK15">IF(OR(BI15="",BI15=0),0,IF(SUMPRODUCT(--(ISNUMBER(SEARCH(BI15,$C$2:$C$33))+ISNUMBER(SEARCH($C$2:$C$33,BI15))))&gt;0,1,0))</f>
        <v>1</v>
      </c>
      <c r="BL15" cm="1">
        <f t="array" ref="BL15">IF(OR(BI15="",BI15=0),0,IF(SUMPRODUCT((ISNUMBER(SEARCH(BI15,$C$2:$C$33))+ISNUMBER(SEARCH($C$2:$C$33,BI15)))*($B$2:$B$33=$B15))&gt;0,1,0))</f>
        <v>0</v>
      </c>
      <c r="BM15" s="17" t="str" cm="1">
        <f t="array" ref="BM15">_xlfn.LET(_xlpm.raw,'Other analyst '!Q15,_xlpm.mockNames,'Colin''s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Olaivavega Ioane</v>
      </c>
      <c r="BN15">
        <f>IF(OR(BM15="",BM15=0),0,IF(OR(ISNUMBER(SEARCH(BM15,$C15)),ISNUMBER(SEARCH($C15,BM15))),1,0))</f>
        <v>1</v>
      </c>
      <c r="BO15" cm="1">
        <f t="array" ref="BO15">IF(OR(BM15="",BM15=0),0,IF(SUMPRODUCT(--(ISNUMBER(SEARCH(BM15,$C$2:$C$33))+ISNUMBER(SEARCH($C$2:$C$33,BM15))))&gt;0,1,0))</f>
        <v>1</v>
      </c>
      <c r="BP15" cm="1">
        <f t="array" ref="BP15">IF(OR(BM15="",BM15=0),0,IF(SUMPRODUCT((ISNUMBER(SEARCH(BM15,$C$2:$C$33))+ISNUMBER(SEARCH($C$2:$C$33,BM15)))*($B$2:$B$33=$B15))&gt;0,1,0))</f>
        <v>1</v>
      </c>
      <c r="BQ15" s="17" t="str" cm="1">
        <f t="array" ref="BQ15">_xlfn.LET(_xlpm.raw,'Other analyst '!R15,_xlpm.mockNames,'Colin''s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Olaivavega Ioane</v>
      </c>
      <c r="BR15">
        <f>IF(OR(BQ15="",BQ15=0),0,IF(OR(ISNUMBER(SEARCH(BQ15,$C15)),ISNUMBER(SEARCH($C15,BQ15))),1,0))</f>
        <v>1</v>
      </c>
      <c r="BS15" cm="1">
        <f t="array" ref="BS15">IF(OR(BQ15="",BQ15=0),0,IF(SUMPRODUCT(--(ISNUMBER(SEARCH(BQ15,$C$2:$C$33))+ISNUMBER(SEARCH($C$2:$C$33,BQ15))))&gt;0,1,0))</f>
        <v>1</v>
      </c>
      <c r="BT15" cm="1">
        <f t="array" ref="BT15">IF(OR(BQ15="",BQ15=0),0,IF(SUMPRODUCT((ISNUMBER(SEARCH(BQ15,$C$2:$C$33))+ISNUMBER(SEARCH($C$2:$C$33,BQ15)))*($B$2:$B$33=$B15))&gt;0,1,0))</f>
        <v>1</v>
      </c>
      <c r="BU15" s="63" t="str">
        <f>'Colin Mock wTrade'!D15</f>
        <v>Olaivavega Ioane</v>
      </c>
      <c r="BV15">
        <f>IF(BU15="",0,IF(OR(ISNUMBER(SEARCH(BU15,C15)),ISNUMBER(SEARCH(C15,BU15))),1,0))</f>
        <v>1</v>
      </c>
      <c r="BW15" cm="1">
        <f t="array" ref="BW15">IF(BU15="",0,IF(SUMPRODUCT(--(ISNUMBER(SEARCH(BU15,$C$2:$C$33))+ISNUMBER(SEARCH($C$2:$C$33,BU15))))&gt;0,1,0))</f>
        <v>1</v>
      </c>
      <c r="BX15" cm="1">
        <f t="array" ref="BX15">IF(BU15="",0,IFERROR(IF(SUMPRODUCT((ISNUMBER(SEARCH(BU15,$C$2:$C$33))+ISNUMBER(SEARCH($C$2:$C$33,BU15)))*($B$2:$B$33=VLOOKUP('Colin Mock wTrade'!C15,$CA$1:$CB$32,2,FALSE)))&gt;0,1,0),0))</f>
        <v>1</v>
      </c>
      <c r="CA15" t="s">
        <v>59</v>
      </c>
      <c r="CB15" t="s">
        <v>414</v>
      </c>
      <c r="CC15" t="str">
        <f>'Other analyst '!S15</f>
        <v>Olaivavega Ioane</v>
      </c>
      <c r="CD15">
        <f t="shared" si="9"/>
        <v>1</v>
      </c>
      <c r="CE15" cm="1">
        <f t="array" ref="CE15">IF(CC15="",0,IF(SUMPRODUCT(--(ISNUMBER(SEARCH(CC15,$C$2:$C$33))+ISNUMBER(SEARCH($C$2:$C$33,CC15))))&gt;0,1,0))</f>
        <v>1</v>
      </c>
      <c r="CF15" cm="1">
        <f t="array" ref="CF15">IF(CC15="",0,IF(SUMPRODUCT((ISNUMBER(SEARCH(CC15,$C$2:$C$33))+ISNUMBER(SEARCH($C$2:$C$33,CC15)))*($B$2:$B$33=$B15))&gt;0,1,0))</f>
        <v>1</v>
      </c>
      <c r="CG15" t="str">
        <f>'Other analyst '!T15</f>
        <v>Kenyon Sadiq</v>
      </c>
      <c r="CH15">
        <f t="shared" si="10"/>
        <v>0</v>
      </c>
      <c r="CI15" cm="1">
        <f t="array" ref="CI15">IF(CG15="",0,IF(SUMPRODUCT(--(ISNUMBER(SEARCH(CG15,$C$2:$C$33))+ISNUMBER(SEARCH($C$2:$C$33,CG15))))&gt;0,1,0))</f>
        <v>1</v>
      </c>
      <c r="CJ15" cm="1">
        <f t="array" ref="CJ15">IF(CG15="",0,IF(SUMPRODUCT((ISNUMBER(SEARCH(CG15,$C$2:$C$33))+ISNUMBER(SEARCH($C$2:$C$33,CG15)))*($B$2:$B$33=$B15))&gt;0,1,0))</f>
        <v>0</v>
      </c>
      <c r="CK15" t="str">
        <f>'Other analyst '!U15</f>
        <v>Olaivavega Ioane</v>
      </c>
      <c r="CL15">
        <f t="shared" si="11"/>
        <v>1</v>
      </c>
      <c r="CM15" cm="1">
        <f t="array" ref="CM15">IF(CK15="",0,IF(SUMPRODUCT(--(ISNUMBER(SEARCH(CK15,$C$2:$C$33))+ISNUMBER(SEARCH($C$2:$C$33,CK15))))&gt;0,1,0))</f>
        <v>1</v>
      </c>
      <c r="CN15" cm="1">
        <f t="array" ref="CN15">IF(CK15="",0,IF(SUMPRODUCT((ISNUMBER(SEARCH(CK15,$C$2:$C$33))+ISNUMBER(SEARCH($C$2:$C$33,CK15)))*($B$2:$B$33=$B15))&gt;0,1,0))</f>
        <v>1</v>
      </c>
      <c r="CO15" t="str">
        <f>'Other analyst '!V15</f>
        <v>Rueben Bain Jr.</v>
      </c>
      <c r="CP15">
        <f t="shared" si="12"/>
        <v>0</v>
      </c>
      <c r="CQ15" cm="1">
        <f t="array" ref="CQ15">IF(CO15="",0,IF(SUMPRODUCT(--(ISNUMBER(SEARCH(CO15,$C$2:$C$33))+ISNUMBER(SEARCH($C$2:$C$33,CO15))))&gt;0,1,0))</f>
        <v>1</v>
      </c>
      <c r="CR15" cm="1">
        <f t="array" ref="CR15">IF(CO15="",0,IF(SUMPRODUCT((ISNUMBER(SEARCH(CO15,$C$2:$C$33))+ISNUMBER(SEARCH($C$2:$C$33,CO15)))*($B$2:$B$33=$B15))&gt;0,1,0))</f>
        <v>0</v>
      </c>
      <c r="CS15" s="35" t="str">
        <f>'Other analyst '!W15</f>
        <v>Olaivavega Ioane</v>
      </c>
      <c r="CT15">
        <f t="shared" si="13"/>
        <v>1</v>
      </c>
      <c r="CU15" cm="1">
        <f t="array" ref="CU15">IF(CS15="",0,IF(SUMPRODUCT(--(ISNUMBER(SEARCH(CS15,$C$2:$C$33))+ISNUMBER(SEARCH($C$2:$C$33,CS15))))&gt;0,1,0))</f>
        <v>1</v>
      </c>
      <c r="CV15" cm="1">
        <f t="array" ref="CV15">IF(CS15="",0,IFERROR(IF(SUMPRODUCT((ISNUMBER(SEARCH(CS15,$C$2:$C$33))+ISNUMBER(SEARCH($C$2:$C$33,CS15)))*(ISNUMBER(SEARCH($B$2:$B$33,'Other analyst '!B15))+ISNUMBER(SEARCH('Other analyst '!B15,$B$2:$B$33))))&gt;0,1,0),0))</f>
        <v>1</v>
      </c>
      <c r="CW15" s="36" t="str">
        <f>'Other analyst '!AD15</f>
        <v>Olaivavega Ioane</v>
      </c>
      <c r="CX15">
        <f t="shared" si="14"/>
        <v>1</v>
      </c>
      <c r="CY15" cm="1">
        <f t="array" ref="CY15">IF(CW15="",0,IF(SUMPRODUCT(--(ISNUMBER(SEARCH(CW15,$C$2:$C$33))+ISNUMBER(SEARCH($C$2:$C$33,CW15))))&gt;0,1,0))</f>
        <v>1</v>
      </c>
      <c r="CZ15" cm="1">
        <f t="array" ref="CZ15">IF(CW15="",0,IF(SUMPRODUCT((ISNUMBER(SEARCH(CW15,$C$2:$C$33))+ISNUMBER(SEARCH($C$2:$C$33,CW15)))*($B$2:$B$33=$B15))&gt;0,1,0))</f>
        <v>1</v>
      </c>
      <c r="DA15" s="36" t="str">
        <f>'Other analyst '!AE15</f>
        <v>Spencer Fano</v>
      </c>
      <c r="DB15">
        <f t="shared" si="15"/>
        <v>0</v>
      </c>
      <c r="DC15" cm="1">
        <f t="array" ref="DC15">IF(DA15="",0,IF(SUMPRODUCT(--(ISNUMBER(SEARCH(DA15,$C$2:$C$33))+ISNUMBER(SEARCH($C$2:$C$33,DA15))))&gt;0,1,0))</f>
        <v>1</v>
      </c>
      <c r="DD15" cm="1">
        <f t="array" ref="DD15">IF(DA15="",0,IF(SUMPRODUCT((ISNUMBER(SEARCH(DA15,$C$2:$C$33))+ISNUMBER(SEARCH($C$2:$C$33,DA15)))*($B$2:$B$33=$B15))&gt;0,1,0))</f>
        <v>0</v>
      </c>
      <c r="DE15" s="36" t="str">
        <f>'Other analyst '!AF15</f>
        <v>Dillon Thieneman</v>
      </c>
      <c r="DF15">
        <f t="shared" si="16"/>
        <v>0</v>
      </c>
      <c r="DG15" cm="1">
        <f t="array" ref="DG15">IF(DE15="",0,IF(SUMPRODUCT(--(ISNUMBER(SEARCH(DE15,$C$2:$C$33))+ISNUMBER(SEARCH($C$2:$C$33,DE15))))&gt;0,1,0))</f>
        <v>1</v>
      </c>
      <c r="DH15" cm="1">
        <f t="array" ref="DH15">IF(DE15="",0,IF(SUMPRODUCT((ISNUMBER(SEARCH(DE15,$C$2:$C$33))+ISNUMBER(SEARCH($C$2:$C$33,DE15)))*($B$2:$B$33=$B15))&gt;0,1,0))</f>
        <v>0</v>
      </c>
      <c r="DI15" s="36" t="str">
        <f>'Other analyst '!AG15</f>
        <v>Carnell Tate</v>
      </c>
      <c r="DJ15">
        <f t="shared" si="17"/>
        <v>0</v>
      </c>
      <c r="DK15" cm="1">
        <f t="array" ref="DK15">IF(DI15="",0,IF(SUMPRODUCT(--(ISNUMBER(SEARCH(DI15,$C$2:$C$33))+ISNUMBER(SEARCH($C$2:$C$33,DI15))))&gt;0,1,0))</f>
        <v>1</v>
      </c>
      <c r="DL15" cm="1">
        <f t="array" ref="DL15">IF(DI15="",0,IF(SUMPRODUCT((ISNUMBER(SEARCH(DI15,$C$2:$C$33))+ISNUMBER(SEARCH($C$2:$C$33,DI15)))*($B$2:$B$33=$B15))&gt;0,1,0))</f>
        <v>0</v>
      </c>
      <c r="DM15" s="35" t="str">
        <f>'Other analyst '!AB15</f>
        <v>Olaivavega Ioane</v>
      </c>
      <c r="DN15">
        <f t="shared" si="18"/>
        <v>1</v>
      </c>
      <c r="DO15" cm="1">
        <f t="array" ref="DO15">IF(DM15="",0,IF(SUMPRODUCT(--(ISNUMBER(SEARCH(DM15,$C$2:$C$33))+ISNUMBER(SEARCH($C$2:$C$33,DM15))))&gt;0,1,0))</f>
        <v>1</v>
      </c>
      <c r="DP15" cm="1">
        <f t="array" ref="DP15">IF(DM15="",0,IFERROR(IF(SUMPRODUCT((ISNUMBER(SEARCH(DM15,$C$2:$C$33))+ISNUMBER(SEARCH($C$2:$C$33,DM15)))*(ISNUMBER(SEARCH($B$2:$B$33,'Other analyst '!B15))+ISNUMBER(SEARCH('Other analyst '!B15,$B$2:$B$33))))&gt;0,1,0),0))</f>
        <v>1</v>
      </c>
      <c r="DQ15" s="35" t="str">
        <f>'Other analyst '!AC15</f>
        <v>Olaivavega Ioane</v>
      </c>
      <c r="DR15">
        <f t="shared" si="19"/>
        <v>1</v>
      </c>
      <c r="DS15" cm="1">
        <f t="array" ref="DS15">IF(DQ15="",0,IF(SUMPRODUCT(--(ISNUMBER(SEARCH(DQ15,$C$2:$C$33))+ISNUMBER(SEARCH($C$2:$C$33,DQ15))))&gt;0,1,0))</f>
        <v>1</v>
      </c>
      <c r="DT15" cm="1">
        <f t="array" ref="DT15">IF(DQ15="",0,IFERROR(IF(SUMPRODUCT((ISNUMBER(SEARCH(DQ15,$C$2:$C$33))+ISNUMBER(SEARCH($C$2:$C$33,DQ15)))*(ISNUMBER(SEARCH($B$2:$B$33,'Other analyst '!B15))+ISNUMBER(SEARCH('Other analyst '!B15,$B$2:$B$33))))&gt;0,1,0),0))</f>
        <v>1</v>
      </c>
      <c r="DU15" t="str">
        <f>IFERROR(TRIM(LEFT(IF(ISNUMBER(SEARCH("]",'Other analyst '!X15)),MID('Other analyst '!X15,SEARCH("]",'Other analyst '!X15)+1,200),'Other analyst '!X15),IFERROR(SEARCH(" (",IF(ISNUMBER(SEARCH("]",'Other analyst '!X15)),MID('Other analyst '!X15,SEARCH("]",'Other analyst '!X15)+1,200),'Other analyst '!X15))-1,LEN('Other analyst '!X15)))),"")</f>
        <v>Kenyon Sadiq</v>
      </c>
      <c r="DV15">
        <f>IF(DU15="",0,IF(OR(ISNUMBER(SEARCH(DU15,C15)),ISNUMBER(SEARCH(C15,DU15))),1,0))</f>
        <v>0</v>
      </c>
      <c r="DW15" cm="1">
        <f t="array" ref="DW15">IF(DU15="",0,IF(SUMPRODUCT((ISNUMBER(SEARCH(DU15,$C$2:$C$33))+ISNUMBER(SEARCH($C$2:$C$33,DU15))))&gt;0,1,0))</f>
        <v>1</v>
      </c>
      <c r="DX15">
        <v>0</v>
      </c>
      <c r="DY15" t="str">
        <f>IFERROR(TRIM(LEFT(IF(ISNUMBER(SEARCH("]",'Other analyst '!Y15)),MID('Other analyst '!Y15,SEARCH("]",'Other analyst '!Y15)+1,200),'Other analyst '!Y15),IFERROR(SEARCH(" (",IF(ISNUMBER(SEARCH("]",'Other analyst '!Y15)),MID('Other analyst '!Y15,SEARCH("]",'Other analyst '!Y15)+1,200),'Other analyst '!Y15))-1,LEN('Other analyst '!Y15)))),"")</f>
        <v>Kenyon Sadiq</v>
      </c>
      <c r="DZ15">
        <f>IF(DY15="",0,IF(OR(ISNUMBER(SEARCH(DY15,C15)),ISNUMBER(SEARCH(C15,DY15))),1,0))</f>
        <v>0</v>
      </c>
      <c r="EA15" cm="1">
        <f t="array" ref="EA15">IF(DY15="",0,IF(SUMPRODUCT((ISNUMBER(SEARCH(DY15,$C$2:$C$33))+ISNUMBER(SEARCH($C$2:$C$33,DY15))))&gt;0,1,0))</f>
        <v>1</v>
      </c>
      <c r="EB15">
        <v>0</v>
      </c>
      <c r="EC15" t="str">
        <f>IFERROR(TRIM(LEFT(IF(ISNUMBER(SEARCH("]",'Other analyst '!Z15)),MID('Other analyst '!Z15,SEARCH("]",'Other analyst '!Z15)+1,200),'Other analyst '!Z15),IFERROR(SEARCH(" (",IF(ISNUMBER(SEARCH("]",'Other analyst '!Z15)),MID('Other analyst '!Z15,SEARCH("]",'Other analyst '!Z15)+1,200),'Other analyst '!Z15))-1,LEN('Other analyst '!Z15)))),"")</f>
        <v>Caleb Banks</v>
      </c>
      <c r="ED15">
        <f>IF(EC15="",0,IF(OR(ISNUMBER(SEARCH(EC15,C15)),ISNUMBER(SEARCH(C15,EC15))),1,0))</f>
        <v>0</v>
      </c>
      <c r="EE15" cm="1">
        <f t="array" ref="EE15">IF(EC15="",0,IF(SUMPRODUCT((ISNUMBER(SEARCH(EC15,$C$2:$C$33))+ISNUMBER(SEARCH($C$2:$C$33,EC15))))&gt;0,1,0))</f>
        <v>1</v>
      </c>
      <c r="EF15">
        <v>0</v>
      </c>
      <c r="EG15" t="str">
        <f>IFERROR(TRIM(LEFT(IF(ISNUMBER(SEARCH("]",'Other analyst '!AA15)),MID('Other analyst '!AA15,SEARCH("]",'Other analyst '!AA15)+1,200),'Other analyst '!AA15),IFERROR(SEARCH(" (",IF(ISNUMBER(SEARCH("]",'Other analyst '!AA15)),MID('Other analyst '!AA15,SEARCH("]",'Other analyst '!AA15)+1,200),'Other analyst '!AA15))-1,LEN('Other analyst '!AA15)))),"")</f>
        <v>Kenyon Sadiq</v>
      </c>
      <c r="EH15">
        <f>IF(EG15="",0,IF(OR(ISNUMBER(SEARCH(EG15,C15)),ISNUMBER(SEARCH(C15,EG15))),1,0))</f>
        <v>0</v>
      </c>
      <c r="EI15" cm="1">
        <f t="array" ref="EI15">IF(EG15="",0,IF(SUMPRODUCT((ISNUMBER(SEARCH(EG15,$C$2:$C$33))+ISNUMBER(SEARCH($C$2:$C$33,EG15))))&gt;0,1,0))</f>
        <v>1</v>
      </c>
      <c r="EJ15">
        <v>0</v>
      </c>
      <c r="EK15">
        <f>K15+L15+M15+N15+O15+P15+AF15+AI15+AL15+AP15+AT15+AX15+BB15+BF15+BJ15+BN15+BR15+BV15+CD15+CH15+CL15+CP15+CT15+DV15+DZ15+ED15+EH15+DN15+DR15+CX15+DB15+DF15+DJ15</f>
        <v>17</v>
      </c>
    </row>
    <row r="16" spans="1:141">
      <c r="A16" s="30">
        <v>15</v>
      </c>
      <c r="B16" s="30" t="str">
        <f>'Actual nfl first round'!C16</f>
        <v>Buccaneers</v>
      </c>
      <c r="C16" s="31" t="str" cm="1">
        <f t="array" ref="C16">_xlfn.LET(_xlpm.actual, 'Actual nfl first round'!D16,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Rueben Bain Jr.</v>
      </c>
      <c r="D16" s="32" t="str">
        <f>'Colin''s Mock'!D16</f>
        <v>Kenyon Sadiq</v>
      </c>
      <c r="E16" s="32" t="str">
        <f>_xlfn.LET(_xlpm.raw, 'Other analyst '!C16, _xlpm.s, IF(LEFT(_xlpm.raw,1)="[", MID(_xlpm.raw, FIND("] ",_xlpm.raw)+2, 999), _xlpm.raw), IFERROR(TRIM(LEFT(_xlpm.s, FIND(" (",_xlpm.s)-1)), _xlpm.raw))</f>
        <v>Kenyon Sadiq</v>
      </c>
      <c r="F16" s="32" t="str">
        <f>_xlfn.LET(_xlpm.raw, 'Other analyst '!D16, _xlpm.s, IF(LEFT(_xlpm.raw,1)="[", MID(_xlpm.raw, FIND("] ",_xlpm.raw)+2, 999), _xlpm.raw), IFERROR(TRIM(LEFT(_xlpm.s, FIND(" (",_xlpm.s)-1)), _xlpm.raw))</f>
        <v>Kenyon Sadiq</v>
      </c>
      <c r="G16" s="32" t="str">
        <f>_xlfn.LET(_xlpm.raw, 'Other analyst '!E16, _xlpm.s, IF(LEFT(_xlpm.raw,1)="[", MID(_xlpm.raw, FIND("] ",_xlpm.raw)+2, 999), _xlpm.raw), IFERROR(TRIM(LEFT(_xlpm.s, FIND(" (",_xlpm.s)-1)), _xlpm.raw))</f>
        <v>Akheem Mesidor</v>
      </c>
      <c r="H16" s="32" t="str">
        <f>_xlfn.LET(_xlpm.raw, 'Other analyst '!F16, _xlpm.s, IF(LEFT(_xlpm.raw,1)="[", MID(_xlpm.raw, FIND("] ",_xlpm.raw)+2, 999), _xlpm.raw), IFERROR(TRIM(LEFT(_xlpm.s, FIND(" (",_xlpm.s)-1)), _xlpm.raw))</f>
        <v>Akheem Mesidor</v>
      </c>
      <c r="I16" s="32" t="str">
        <f>_xlfn.LET(_xlpm.raw, 'Other analyst '!G16, _xlpm.s, IF(LEFT(_xlpm.raw,1)="[", MID(_xlpm.raw, FIND("] ",_xlpm.raw)+2, 999), _xlpm.raw), IFERROR(TRIM(LEFT(_xlpm.s, FIND(" (",_xlpm.s)-1)), _xlpm.raw))</f>
        <v>Jermod McCoy</v>
      </c>
      <c r="K16" s="1">
        <f t="shared" si="0"/>
        <v>0</v>
      </c>
      <c r="L16" s="1">
        <f t="shared" si="1"/>
        <v>0</v>
      </c>
      <c r="M16" s="1">
        <f t="shared" si="2"/>
        <v>0</v>
      </c>
      <c r="N16" s="1">
        <f t="shared" si="3"/>
        <v>0</v>
      </c>
      <c r="O16" s="1">
        <f t="shared" si="4"/>
        <v>0</v>
      </c>
      <c r="P16" s="1">
        <f t="shared" si="5"/>
        <v>0</v>
      </c>
      <c r="Q16" s="1" cm="1">
        <f t="array" ref="Q16">IF(D16="", 0, IF(SUMPRODUCT(--(ISNUMBER(SEARCH(D16, $C$2:$C$33)) + ISNUMBER(SEARCH($C$2:$C$33, D16))))&gt;0, 1, 0))</f>
        <v>1</v>
      </c>
      <c r="R16" s="1" cm="1">
        <f t="array" ref="R16">IF(E16="", 0, IF(SUMPRODUCT(--(ISNUMBER(SEARCH(E16, $C$2:$C$33)) + ISNUMBER(SEARCH($C$2:$C$33, E16))))&gt;0, 1, 0))</f>
        <v>1</v>
      </c>
      <c r="S16" s="1" cm="1">
        <f t="array" ref="S16">IF(F16="", 0, IF(SUMPRODUCT(--(ISNUMBER(SEARCH(F16, $C$2:$C$33)) + ISNUMBER(SEARCH($C$2:$C$33, F16))))&gt;0, 1, 0))</f>
        <v>1</v>
      </c>
      <c r="T16" s="1" cm="1">
        <f t="array" ref="T16">IF(G16="", 0, IF(SUMPRODUCT(--(ISNUMBER(SEARCH(G16, $C$2:$C$33)) + ISNUMBER(SEARCH($C$2:$C$33, G16))))&gt;0, 1, 0))</f>
        <v>1</v>
      </c>
      <c r="U16" s="1" cm="1">
        <f t="array" ref="U16">IF(H16="", 0, IF(SUMPRODUCT(--(ISNUMBER(SEARCH(H16, $C$2:$C$33)) + ISNUMBER(SEARCH($C$2:$C$33, H16))))&gt;0, 1, 0))</f>
        <v>1</v>
      </c>
      <c r="V16" s="1" cm="1">
        <f t="array" ref="V16">IF(I16="", 0, IF(SUMPRODUCT(--(ISNUMBER(SEARCH(I16, $C$2:$C$33)) + ISNUMBER(SEARCH($C$2:$C$33, I16))))&gt;0, 1, 0))</f>
        <v>0</v>
      </c>
      <c r="W16" s="1" cm="1">
        <f t="array" ref="W16">IF(D16="",0,IF(SUMPRODUCT((ISNUMBER(SEARCH(D16,$C$2:$C$33))+ISNUMBER(SEARCH($C$2:$C$33,D16)))*($B$2:$B$33=$B16))&gt;0,1,0))</f>
        <v>0</v>
      </c>
      <c r="X16" s="1" cm="1">
        <f t="array" ref="X16">IF(E16="",0,IF(SUMPRODUCT((ISNUMBER(SEARCH(E16,$C$2:$C$33))+ISNUMBER(SEARCH($C$2:$C$33,E16)))*($B$2:$B$33=$B16))&gt;0,1,0))</f>
        <v>0</v>
      </c>
      <c r="Y16" s="1" cm="1">
        <f t="array" ref="Y16">IF(F16="",0,IF(SUMPRODUCT((ISNUMBER(SEARCH(F16,$C$2:$C$33))+ISNUMBER(SEARCH($C$2:$C$33,F16)))*($B$2:$B$33=$B16))&gt;0,1,0))</f>
        <v>0</v>
      </c>
      <c r="Z16" s="1" cm="1">
        <f t="array" ref="Z16">IF(G16="",0,IF(SUMPRODUCT((ISNUMBER(SEARCH(G16,$C$2:$C$33))+ISNUMBER(SEARCH($C$2:$C$33,G16)))*($B$2:$B$33=$B16))&gt;0,1,0))</f>
        <v>0</v>
      </c>
      <c r="AA16" s="1" cm="1">
        <f t="array" ref="AA16">IF(H16="",0,IF(SUMPRODUCT((ISNUMBER(SEARCH(H16,$C$2:$C$33))+ISNUMBER(SEARCH($C$2:$C$33,H16)))*($B$2:$B$33=$B16))&gt;0,1,0))</f>
        <v>0</v>
      </c>
      <c r="AB16" s="1" cm="1">
        <f t="array" ref="AB16">IF(I16="",0,IF(SUMPRODUCT((ISNUMBER(SEARCH(I16,$C$2:$C$33))+ISNUMBER(SEARCH($C$2:$C$33,I16)))*($B$2:$B$33=$B16))&gt;0,1,0))</f>
        <v>0</v>
      </c>
      <c r="AC16" s="36" t="s">
        <v>72</v>
      </c>
      <c r="AD16" s="36" t="s">
        <v>57</v>
      </c>
      <c r="AE16" s="36" t="s">
        <v>57</v>
      </c>
      <c r="AF16">
        <f t="shared" si="6"/>
        <v>0</v>
      </c>
      <c r="AG16" cm="1">
        <f t="array" ref="AG16">IF(AC16="",0,IF(SUMPRODUCT((ISNUMBER(SEARCH(AC16,$C$2:$C$33))+ISNUMBER(SEARCH($C$2:$C$33,AC16))))&gt;0,1,0))</f>
        <v>1</v>
      </c>
      <c r="AH16" cm="1">
        <f t="array" ref="AH16">IF(AC16="",0,IF(SUMPRODUCT((ISNUMBER(SEARCH(AC16,$C$2:$C$33))+ISNUMBER(SEARCH($C$2:$C$33,AC16)))*($B$2:$B$33=$B16))&gt;0,1,0))</f>
        <v>0</v>
      </c>
      <c r="AI16">
        <f t="shared" si="7"/>
        <v>0</v>
      </c>
      <c r="AJ16" cm="1">
        <f t="array" ref="AJ16">IF(AD16="",0,IF(SUMPRODUCT((ISNUMBER(SEARCH(AD16,$C$2:$C$33))+ISNUMBER(SEARCH($C$2:$C$33,AD16))))&gt;0,1,0))</f>
        <v>1</v>
      </c>
      <c r="AK16" cm="1">
        <f t="array" ref="AK16">IF(AD16="",0,IF(SUMPRODUCT((ISNUMBER(SEARCH(AD16,$C$2:$C$33))+ISNUMBER(SEARCH($C$2:$C$33,AD16)))*($B$2:$B$33=$B16))&gt;0,1,0))</f>
        <v>0</v>
      </c>
      <c r="AL16">
        <f t="shared" si="8"/>
        <v>0</v>
      </c>
      <c r="AM16" cm="1">
        <f t="array" ref="AM16">IF(AE16="",0,IF(SUMPRODUCT((ISNUMBER(SEARCH(AE16,$C$2:$C$33))+ISNUMBER(SEARCH($C$2:$C$33,AE16))))&gt;0,1,0))</f>
        <v>1</v>
      </c>
      <c r="AN16" cm="1">
        <f t="array" ref="AN16">IF(AE16="",0,IF(SUMPRODUCT((ISNUMBER(SEARCH(AE16,$C$2:$C$33))+ISNUMBER(SEARCH($C$2:$C$33,AE16)))*($B$2:$B$33=$B16))&gt;0,1,0))</f>
        <v>0</v>
      </c>
      <c r="AO16" s="64" t="str" cm="1">
        <f t="array" ref="AO16">_xlfn.LET(_xlpm.raw,'Other analyst '!K16,_xlpm.mockNames,'Colin''s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Kadyn Proctor</v>
      </c>
      <c r="AP16">
        <f>IF(OR(AO16="",AO16=0),0,IF(OR(ISNUMBER(SEARCH(AO16,$C16)),ISNUMBER(SEARCH($C16,AO16))),1,0))</f>
        <v>0</v>
      </c>
      <c r="AQ16" cm="1">
        <f t="array" ref="AQ16">IF(OR(AO16="",AO16=0),0,IF(SUMPRODUCT(--(ISNUMBER(SEARCH(AO16,$C$2:$C$33))+ISNUMBER(SEARCH($C$2:$C$33,AO16))))&gt;0,1,0))</f>
        <v>1</v>
      </c>
      <c r="AR16" cm="1">
        <f t="array" ref="AR16">IF(OR(AO16="",AO16=0),0,IF(SUMPRODUCT((ISNUMBER(SEARCH(AO16,$C$2:$C$33))+ISNUMBER(SEARCH($C$2:$C$33,AO16)))*($B$2:$B$33=$B16))&gt;0,1,0))</f>
        <v>0</v>
      </c>
      <c r="AS16" s="64" t="str" cm="1">
        <f t="array" ref="AS16">_xlfn.LET(_xlpm.raw,'Other analyst '!L16,_xlpm.mockNames,'Colin''s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Monroe Freeling</v>
      </c>
      <c r="AT16">
        <f>IF(OR(AS16="",AS16=0),0,IF(OR(ISNUMBER(SEARCH(AS16,$C16)),ISNUMBER(SEARCH($C16,AS16))),1,0))</f>
        <v>0</v>
      </c>
      <c r="AU16" cm="1">
        <f t="array" ref="AU16">IF(OR(AS16="",AS16=0),0,IF(SUMPRODUCT(--(ISNUMBER(SEARCH(AS16,$C$2:$C$33))+ISNUMBER(SEARCH($C$2:$C$33,AS16))))&gt;0,1,0))</f>
        <v>1</v>
      </c>
      <c r="AV16" cm="1">
        <f t="array" ref="AV16">IF(OR(AS16="",AS16=0),0,IF(SUMPRODUCT((ISNUMBER(SEARCH(AS16,$C$2:$C$33))+ISNUMBER(SEARCH($C$2:$C$33,AS16)))*($B$2:$B$33=$B16))&gt;0,1,0))</f>
        <v>0</v>
      </c>
      <c r="AW16" s="64" t="str" cm="1">
        <f t="array" ref="AW16">_xlfn.LET(_xlpm.raw,'Other analyst '!M16,_xlpm.mockNames,'Colin''s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Olaivavega Ioane</v>
      </c>
      <c r="AX16">
        <f>IF(OR(AW16="",AW16=0),0,IF(OR(ISNUMBER(SEARCH(AW16,$C16)),ISNUMBER(SEARCH($C16,AW16))),1,0))</f>
        <v>0</v>
      </c>
      <c r="AY16" cm="1">
        <f t="array" ref="AY16">IF(OR(AW16="",AW16=0),0,IF(SUMPRODUCT(--(ISNUMBER(SEARCH(AW16,$C$2:$C$33))+ISNUMBER(SEARCH($C$2:$C$33,AW16))))&gt;0,1,0))</f>
        <v>1</v>
      </c>
      <c r="AZ16" cm="1">
        <f t="array" ref="AZ16">IF(OR(AW16="",AW16=0),0,IF(SUMPRODUCT((ISNUMBER(SEARCH(AW16,$C$2:$C$33))+ISNUMBER(SEARCH($C$2:$C$33,AW16)))*($B$2:$B$33=$B16))&gt;0,1,0))</f>
        <v>0</v>
      </c>
      <c r="BA16" s="64" t="str" cm="1">
        <f t="array" ref="BA16">_xlfn.LET(_xlpm.raw,'Other analyst '!N16,_xlpm.mockNames,'Colin''s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Kenyon Sadiq</v>
      </c>
      <c r="BB16">
        <f>IF(OR(BA16="",BA16=0),0,IF(OR(ISNUMBER(SEARCH(BA16,$C16)),ISNUMBER(SEARCH($C16,BA16))),1,0))</f>
        <v>0</v>
      </c>
      <c r="BC16" cm="1">
        <f t="array" ref="BC16">IF(OR(BA16="",BA16=0),0,IF(SUMPRODUCT(--(ISNUMBER(SEARCH(BA16,$C$2:$C$33))+ISNUMBER(SEARCH($C$2:$C$33,BA16))))&gt;0,1,0))</f>
        <v>1</v>
      </c>
      <c r="BD16" cm="1">
        <f t="array" ref="BD16">IF(OR(BA16="",BA16=0),0,IF(SUMPRODUCT((ISNUMBER(SEARCH(BA16,$C$2:$C$33))+ISNUMBER(SEARCH($C$2:$C$33,BA16)))*($B$2:$B$33=$B16))&gt;0,1,0))</f>
        <v>0</v>
      </c>
      <c r="BE16" s="64" t="str" cm="1">
        <f t="array" ref="BE16">_xlfn.LET(_xlpm.raw,'Other analyst '!O16,_xlpm.mockNames,'Colin''s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Akheem Mesidor</v>
      </c>
      <c r="BF16">
        <f>IF(OR(BE16="",BE16=0),0,IF(OR(ISNUMBER(SEARCH(BE16,$C16)),ISNUMBER(SEARCH($C16,BE16))),1,0))</f>
        <v>0</v>
      </c>
      <c r="BG16" cm="1">
        <f t="array" ref="BG16">IF(OR(BE16="",BE16=0),0,IF(SUMPRODUCT(--(ISNUMBER(SEARCH(BE16,$C$2:$C$33))+ISNUMBER(SEARCH($C$2:$C$33,BE16))))&gt;0,1,0))</f>
        <v>1</v>
      </c>
      <c r="BH16" cm="1">
        <f t="array" ref="BH16">IF(OR(BE16="",BE16=0),0,IF(SUMPRODUCT((ISNUMBER(SEARCH(BE16,$C$2:$C$33))+ISNUMBER(SEARCH($C$2:$C$33,BE16)))*($B$2:$B$33=$B16))&gt;0,1,0))</f>
        <v>0</v>
      </c>
      <c r="BI16" s="64" t="str" cm="1">
        <f t="array" ref="BI16">_xlfn.LET(_xlpm.raw,'Other analyst '!P16,_xlpm.mockNames,'Colin''s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Kenyon Sadiq</v>
      </c>
      <c r="BJ16">
        <f>IF(OR(BI16="",BI16=0),0,IF(OR(ISNUMBER(SEARCH(BI16,$C16)),ISNUMBER(SEARCH($C16,BI16))),1,0))</f>
        <v>0</v>
      </c>
      <c r="BK16" cm="1">
        <f t="array" ref="BK16">IF(OR(BI16="",BI16=0),0,IF(SUMPRODUCT(--(ISNUMBER(SEARCH(BI16,$C$2:$C$33))+ISNUMBER(SEARCH($C$2:$C$33,BI16))))&gt;0,1,0))</f>
        <v>1</v>
      </c>
      <c r="BL16" cm="1">
        <f t="array" ref="BL16">IF(OR(BI16="",BI16=0),0,IF(SUMPRODUCT((ISNUMBER(SEARCH(BI16,$C$2:$C$33))+ISNUMBER(SEARCH($C$2:$C$33,BI16)))*($B$2:$B$33=$B16))&gt;0,1,0))</f>
        <v>0</v>
      </c>
      <c r="BM16" s="64" t="str" cm="1">
        <f t="array" ref="BM16">_xlfn.LET(_xlpm.raw,'Other analyst '!Q16,_xlpm.mockNames,'Colin''s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Akheem Mesidor</v>
      </c>
      <c r="BN16">
        <f>IF(OR(BM16="",BM16=0),0,IF(OR(ISNUMBER(SEARCH(BM16,$C16)),ISNUMBER(SEARCH($C16,BM16))),1,0))</f>
        <v>0</v>
      </c>
      <c r="BO16" cm="1">
        <f t="array" ref="BO16">IF(OR(BM16="",BM16=0),0,IF(SUMPRODUCT(--(ISNUMBER(SEARCH(BM16,$C$2:$C$33))+ISNUMBER(SEARCH($C$2:$C$33,BM16))))&gt;0,1,0))</f>
        <v>1</v>
      </c>
      <c r="BP16" cm="1">
        <f t="array" ref="BP16">IF(OR(BM16="",BM16=0),0,IF(SUMPRODUCT((ISNUMBER(SEARCH(BM16,$C$2:$C$33))+ISNUMBER(SEARCH($C$2:$C$33,BM16)))*($B$2:$B$33=$B16))&gt;0,1,0))</f>
        <v>0</v>
      </c>
      <c r="BQ16" s="64" t="str" cm="1">
        <f t="array" ref="BQ16">_xlfn.LET(_xlpm.raw,'Other analyst '!R16,_xlpm.mockNames,'Colin''s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Monroe Freeling</v>
      </c>
      <c r="BR16">
        <f>IF(OR(BQ16="",BQ16=0),0,IF(OR(ISNUMBER(SEARCH(BQ16,$C16)),ISNUMBER(SEARCH($C16,BQ16))),1,0))</f>
        <v>0</v>
      </c>
      <c r="BS16" cm="1">
        <f t="array" ref="BS16">IF(OR(BQ16="",BQ16=0),0,IF(SUMPRODUCT(--(ISNUMBER(SEARCH(BQ16,$C$2:$C$33))+ISNUMBER(SEARCH($C$2:$C$33,BQ16))))&gt;0,1,0))</f>
        <v>1</v>
      </c>
      <c r="BT16" cm="1">
        <f t="array" ref="BT16">IF(OR(BQ16="",BQ16=0),0,IF(SUMPRODUCT((ISNUMBER(SEARCH(BQ16,$C$2:$C$33))+ISNUMBER(SEARCH($C$2:$C$33,BQ16)))*($B$2:$B$33=$B16))&gt;0,1,0))</f>
        <v>0</v>
      </c>
      <c r="BU16" s="76" t="str">
        <f>'Colin Mock wTrade'!D16</f>
        <v>Kenyon Sadiq</v>
      </c>
      <c r="BV16">
        <f>IF(BU16="",0,IF(OR(ISNUMBER(SEARCH(BU16,C16)),ISNUMBER(SEARCH(C16,BU16))),1,0))</f>
        <v>0</v>
      </c>
      <c r="BW16" cm="1">
        <f t="array" ref="BW16">IF(BU16="",0,IF(SUMPRODUCT(--(ISNUMBER(SEARCH(BU16,$C$2:$C$33))+ISNUMBER(SEARCH($C$2:$C$33,BU16))))&gt;0,1,0))</f>
        <v>1</v>
      </c>
      <c r="BX16" cm="1">
        <f t="array" ref="BX16">IF(BU16="",0,IFERROR(IF(SUMPRODUCT((ISNUMBER(SEARCH(BU16,$C$2:$C$33))+ISNUMBER(SEARCH($C$2:$C$33,BU16)))*($B$2:$B$33=VLOOKUP('Colin Mock wTrade'!C16,$CA$1:$CB$32,2,FALSE)))&gt;0,1,0),0))</f>
        <v>0</v>
      </c>
      <c r="CA16" t="s">
        <v>61</v>
      </c>
      <c r="CB16" t="s">
        <v>416</v>
      </c>
      <c r="CC16" t="str">
        <f>'Other analyst '!S16</f>
        <v>Akheem Mesidor</v>
      </c>
      <c r="CD16">
        <f t="shared" si="9"/>
        <v>0</v>
      </c>
      <c r="CE16" cm="1">
        <f t="array" ref="CE16">IF(CC16="",0,IF(SUMPRODUCT(--(ISNUMBER(SEARCH(CC16,$C$2:$C$33))+ISNUMBER(SEARCH($C$2:$C$33,CC16))))&gt;0,1,0))</f>
        <v>1</v>
      </c>
      <c r="CF16" cm="1">
        <f t="array" ref="CF16">IF(CC16="",0,IF(SUMPRODUCT((ISNUMBER(SEARCH(CC16,$C$2:$C$33))+ISNUMBER(SEARCH($C$2:$C$33,CC16)))*($B$2:$B$33=$B16))&gt;0,1,0))</f>
        <v>0</v>
      </c>
      <c r="CG16" t="str">
        <f>'Other analyst '!T16</f>
        <v>Keldric Faulk</v>
      </c>
      <c r="CH16">
        <f t="shared" si="10"/>
        <v>0</v>
      </c>
      <c r="CI16" cm="1">
        <f t="array" ref="CI16">IF(CG16="",0,IF(SUMPRODUCT(--(ISNUMBER(SEARCH(CG16,$C$2:$C$33))+ISNUMBER(SEARCH($C$2:$C$33,CG16))))&gt;0,1,0))</f>
        <v>1</v>
      </c>
      <c r="CJ16" cm="1">
        <f t="array" ref="CJ16">IF(CG16="",0,IF(SUMPRODUCT((ISNUMBER(SEARCH(CG16,$C$2:$C$33))+ISNUMBER(SEARCH($C$2:$C$33,CG16)))*($B$2:$B$33=$B16))&gt;0,1,0))</f>
        <v>0</v>
      </c>
      <c r="CK16" t="str">
        <f>'Other analyst '!U16</f>
        <v>Dillon Thieneman</v>
      </c>
      <c r="CL16">
        <f t="shared" si="11"/>
        <v>0</v>
      </c>
      <c r="CM16" cm="1">
        <f t="array" ref="CM16">IF(CK16="",0,IF(SUMPRODUCT(--(ISNUMBER(SEARCH(CK16,$C$2:$C$33))+ISNUMBER(SEARCH($C$2:$C$33,CK16))))&gt;0,1,0))</f>
        <v>1</v>
      </c>
      <c r="CN16" cm="1">
        <f t="array" ref="CN16">IF(CK16="",0,IF(SUMPRODUCT((ISNUMBER(SEARCH(CK16,$C$2:$C$33))+ISNUMBER(SEARCH($C$2:$C$33,CK16)))*($B$2:$B$33=$B16))&gt;0,1,0))</f>
        <v>0</v>
      </c>
      <c r="CO16" t="str">
        <f>'Other analyst '!V16</f>
        <v>Jeremiyah Love</v>
      </c>
      <c r="CP16">
        <f t="shared" si="12"/>
        <v>0</v>
      </c>
      <c r="CQ16" cm="1">
        <f t="array" ref="CQ16">IF(CO16="",0,IF(SUMPRODUCT(--(ISNUMBER(SEARCH(CO16,$C$2:$C$33))+ISNUMBER(SEARCH($C$2:$C$33,CO16))))&gt;0,1,0))</f>
        <v>1</v>
      </c>
      <c r="CR16" cm="1">
        <f t="array" ref="CR16">IF(CO16="",0,IF(SUMPRODUCT((ISNUMBER(SEARCH(CO16,$C$2:$C$33))+ISNUMBER(SEARCH($C$2:$C$33,CO16)))*($B$2:$B$33=$B16))&gt;0,1,0))</f>
        <v>0</v>
      </c>
      <c r="CS16" s="36" t="str">
        <f>'Other analyst '!W16</f>
        <v>Keldric Faulk</v>
      </c>
      <c r="CT16">
        <f t="shared" si="13"/>
        <v>0</v>
      </c>
      <c r="CU16" cm="1">
        <f t="array" ref="CU16">IF(CS16="",0,IF(SUMPRODUCT(--(ISNUMBER(SEARCH(CS16,$C$2:$C$33))+ISNUMBER(SEARCH($C$2:$C$33,CS16))))&gt;0,1,0))</f>
        <v>1</v>
      </c>
      <c r="CV16" cm="1">
        <f t="array" ref="CV16">IF(CS16="",0,IFERROR(IF(SUMPRODUCT((ISNUMBER(SEARCH(CS16,$C$2:$C$33))+ISNUMBER(SEARCH($C$2:$C$33,CS16)))*(ISNUMBER(SEARCH($B$2:$B$33,'Other analyst '!B16))+ISNUMBER(SEARCH('Other analyst '!B16,$B$2:$B$33))))&gt;0,1,0),0))</f>
        <v>0</v>
      </c>
      <c r="CW16" s="36" t="str">
        <f>'Other analyst '!AD16</f>
        <v>Kenyon Sadiq</v>
      </c>
      <c r="CX16">
        <f t="shared" si="14"/>
        <v>0</v>
      </c>
      <c r="CY16" cm="1">
        <f t="array" ref="CY16">IF(CW16="",0,IF(SUMPRODUCT(--(ISNUMBER(SEARCH(CW16,$C$2:$C$33))+ISNUMBER(SEARCH($C$2:$C$33,CW16))))&gt;0,1,0))</f>
        <v>1</v>
      </c>
      <c r="CZ16" cm="1">
        <f t="array" ref="CZ16">IF(CW16="",0,IF(SUMPRODUCT((ISNUMBER(SEARCH(CW16,$C$2:$C$33))+ISNUMBER(SEARCH($C$2:$C$33,CW16)))*($B$2:$B$33=$B16))&gt;0,1,0))</f>
        <v>0</v>
      </c>
      <c r="DA16" s="36" t="str">
        <f>'Other analyst '!AE16</f>
        <v>Akheem Mesidor</v>
      </c>
      <c r="DB16">
        <f t="shared" si="15"/>
        <v>0</v>
      </c>
      <c r="DC16" cm="1">
        <f t="array" ref="DC16">IF(DA16="",0,IF(SUMPRODUCT(--(ISNUMBER(SEARCH(DA16,$C$2:$C$33))+ISNUMBER(SEARCH($C$2:$C$33,DA16))))&gt;0,1,0))</f>
        <v>1</v>
      </c>
      <c r="DD16" cm="1">
        <f t="array" ref="DD16">IF(DA16="",0,IF(SUMPRODUCT((ISNUMBER(SEARCH(DA16,$C$2:$C$33))+ISNUMBER(SEARCH($C$2:$C$33,DA16)))*($B$2:$B$33=$B16))&gt;0,1,0))</f>
        <v>0</v>
      </c>
      <c r="DE16" s="36" t="str">
        <f>'Other analyst '!AF16</f>
        <v>Jermod McCoy</v>
      </c>
      <c r="DF16">
        <f t="shared" si="16"/>
        <v>0</v>
      </c>
      <c r="DG16" cm="1">
        <f t="array" ref="DG16">IF(DE16="",0,IF(SUMPRODUCT(--(ISNUMBER(SEARCH(DE16,$C$2:$C$33))+ISNUMBER(SEARCH($C$2:$C$33,DE16))))&gt;0,1,0))</f>
        <v>0</v>
      </c>
      <c r="DH16" cm="1">
        <f t="array" ref="DH16">IF(DE16="",0,IF(SUMPRODUCT((ISNUMBER(SEARCH(DE16,$C$2:$C$33))+ISNUMBER(SEARCH($C$2:$C$33,DE16)))*($B$2:$B$33=$B16))&gt;0,1,0))</f>
        <v>0</v>
      </c>
      <c r="DI16" s="36" t="str">
        <f>'Other analyst '!AG16</f>
        <v>Akheem Mesidor</v>
      </c>
      <c r="DJ16">
        <f t="shared" si="17"/>
        <v>0</v>
      </c>
      <c r="DK16" cm="1">
        <f t="array" ref="DK16">IF(DI16="",0,IF(SUMPRODUCT(--(ISNUMBER(SEARCH(DI16,$C$2:$C$33))+ISNUMBER(SEARCH($C$2:$C$33,DI16))))&gt;0,1,0))</f>
        <v>1</v>
      </c>
      <c r="DL16" cm="1">
        <f t="array" ref="DL16">IF(DI16="",0,IF(SUMPRODUCT((ISNUMBER(SEARCH(DI16,$C$2:$C$33))+ISNUMBER(SEARCH($C$2:$C$33,DI16)))*($B$2:$B$33=$B16))&gt;0,1,0))</f>
        <v>0</v>
      </c>
      <c r="DM16" s="36" t="str">
        <f>'Other analyst '!AB16</f>
        <v>Kadyn Proctor</v>
      </c>
      <c r="DN16">
        <f t="shared" si="18"/>
        <v>0</v>
      </c>
      <c r="DO16" cm="1">
        <f t="array" ref="DO16">IF(DM16="",0,IF(SUMPRODUCT(--(ISNUMBER(SEARCH(DM16,$C$2:$C$33))+ISNUMBER(SEARCH($C$2:$C$33,DM16))))&gt;0,1,0))</f>
        <v>1</v>
      </c>
      <c r="DP16" cm="1">
        <f t="array" ref="DP16">IF(DM16="",0,IFERROR(IF(SUMPRODUCT((ISNUMBER(SEARCH(DM16,$C$2:$C$33))+ISNUMBER(SEARCH($C$2:$C$33,DM16)))*(ISNUMBER(SEARCH($B$2:$B$33,'Other analyst '!B16))+ISNUMBER(SEARCH('Other analyst '!B16,$B$2:$B$33))))&gt;0,1,0),0))</f>
        <v>0</v>
      </c>
      <c r="DQ16" s="36" t="str">
        <f>'Other analyst '!AC16</f>
        <v>Kenyon Sadiq</v>
      </c>
      <c r="DR16">
        <f t="shared" si="19"/>
        <v>0</v>
      </c>
      <c r="DS16" cm="1">
        <f t="array" ref="DS16">IF(DQ16="",0,IF(SUMPRODUCT(--(ISNUMBER(SEARCH(DQ16,$C$2:$C$33))+ISNUMBER(SEARCH($C$2:$C$33,DQ16))))&gt;0,1,0))</f>
        <v>1</v>
      </c>
      <c r="DT16" cm="1">
        <f t="array" ref="DT16">IF(DQ16="",0,IFERROR(IF(SUMPRODUCT((ISNUMBER(SEARCH(DQ16,$C$2:$C$33))+ISNUMBER(SEARCH($C$2:$C$33,DQ16)))*(ISNUMBER(SEARCH($B$2:$B$33,'Other analyst '!B16))+ISNUMBER(SEARCH('Other analyst '!B16,$B$2:$B$33))))&gt;0,1,0),0))</f>
        <v>0</v>
      </c>
      <c r="DU16" t="str">
        <f>IFERROR(TRIM(LEFT(IF(ISNUMBER(SEARCH("]",'Other analyst '!X16)),MID('Other analyst '!X16,SEARCH("]",'Other analyst '!X16)+1,200),'Other analyst '!X16),IFERROR(SEARCH(" (",IF(ISNUMBER(SEARCH("]",'Other analyst '!X16)),MID('Other analyst '!X16,SEARCH("]",'Other analyst '!X16)+1,200),'Other analyst '!X16))-1,LEN('Other analyst '!X16)))),"")</f>
        <v>Akheem Mesidor</v>
      </c>
      <c r="DV16">
        <f>IF(DU16="",0,IF(OR(ISNUMBER(SEARCH(DU16,C16)),ISNUMBER(SEARCH(C16,DU16))),1,0))</f>
        <v>0</v>
      </c>
      <c r="DW16" cm="1">
        <f t="array" ref="DW16">IF(DU16="",0,IF(SUMPRODUCT((ISNUMBER(SEARCH(DU16,$C$2:$C$33))+ISNUMBER(SEARCH($C$2:$C$33,DU16))))&gt;0,1,0))</f>
        <v>1</v>
      </c>
      <c r="DX16">
        <v>0</v>
      </c>
      <c r="DY16" t="str">
        <f>IFERROR(TRIM(LEFT(IF(ISNUMBER(SEARCH("]",'Other analyst '!Y16)),MID('Other analyst '!Y16,SEARCH("]",'Other analyst '!Y16)+1,200),'Other analyst '!Y16),IFERROR(SEARCH(" (",IF(ISNUMBER(SEARCH("]",'Other analyst '!Y16)),MID('Other analyst '!Y16,SEARCH("]",'Other analyst '!Y16)+1,200),'Other analyst '!Y16))-1,LEN('Other analyst '!Y16)))),"")</f>
        <v>Akheem Mesidor</v>
      </c>
      <c r="DZ16">
        <f>IF(DY16="",0,IF(OR(ISNUMBER(SEARCH(DY16,C16)),ISNUMBER(SEARCH(C16,DY16))),1,0))</f>
        <v>0</v>
      </c>
      <c r="EA16" cm="1">
        <f t="array" ref="EA16">IF(DY16="",0,IF(SUMPRODUCT((ISNUMBER(SEARCH(DY16,$C$2:$C$33))+ISNUMBER(SEARCH($C$2:$C$33,DY16))))&gt;0,1,0))</f>
        <v>1</v>
      </c>
      <c r="EB16">
        <v>0</v>
      </c>
      <c r="EC16" t="str">
        <f>IFERROR(TRIM(LEFT(IF(ISNUMBER(SEARCH("]",'Other analyst '!Z16)),MID('Other analyst '!Z16,SEARCH("]",'Other analyst '!Z16)+1,200),'Other analyst '!Z16),IFERROR(SEARCH(" (",IF(ISNUMBER(SEARCH("]",'Other analyst '!Z16)),MID('Other analyst '!Z16,SEARCH("]",'Other analyst '!Z16)+1,200),'Other analyst '!Z16))-1,LEN('Other analyst '!Z16)))),"")</f>
        <v>Akheem Mesidor</v>
      </c>
      <c r="ED16">
        <f>IF(EC16="",0,IF(OR(ISNUMBER(SEARCH(EC16,C16)),ISNUMBER(SEARCH(C16,EC16))),1,0))</f>
        <v>0</v>
      </c>
      <c r="EE16" cm="1">
        <f t="array" ref="EE16">IF(EC16="",0,IF(SUMPRODUCT((ISNUMBER(SEARCH(EC16,$C$2:$C$33))+ISNUMBER(SEARCH($C$2:$C$33,EC16))))&gt;0,1,0))</f>
        <v>1</v>
      </c>
      <c r="EF16">
        <v>0</v>
      </c>
      <c r="EG16" t="str">
        <f>IFERROR(TRIM(LEFT(IF(ISNUMBER(SEARCH("]",'Other analyst '!AA16)),MID('Other analyst '!AA16,SEARCH("]",'Other analyst '!AA16)+1,200),'Other analyst '!AA16),IFERROR(SEARCH(" (",IF(ISNUMBER(SEARCH("]",'Other analyst '!AA16)),MID('Other analyst '!AA16,SEARCH("]",'Other analyst '!AA16)+1,200),'Other analyst '!AA16))-1,LEN('Other analyst '!AA16)))),"")</f>
        <v>Akheem Mesidor</v>
      </c>
      <c r="EH16">
        <f>IF(EG16="",0,IF(OR(ISNUMBER(SEARCH(EG16,C16)),ISNUMBER(SEARCH(C16,EG16))),1,0))</f>
        <v>0</v>
      </c>
      <c r="EI16" cm="1">
        <f t="array" ref="EI16">IF(EG16="",0,IF(SUMPRODUCT((ISNUMBER(SEARCH(EG16,$C$2:$C$33))+ISNUMBER(SEARCH($C$2:$C$33,EG16))))&gt;0,1,0))</f>
        <v>1</v>
      </c>
      <c r="EJ16">
        <v>0</v>
      </c>
      <c r="EK16">
        <f>K16+L16+M16+N16+O16+P16+AF16+AI16+AL16+AP16+AT16+AX16+BB16+BF16+BJ16+BN16+BR16+BV16+CD16+CH16+CL16+CP16+CT16+DV16+DZ16+ED16+EH16+DN16+DR16+CX16+DB16+DF16+DJ16</f>
        <v>0</v>
      </c>
    </row>
    <row r="17" spans="1:141">
      <c r="A17" s="30">
        <v>16</v>
      </c>
      <c r="B17" s="30" t="str">
        <f>'Actual nfl first round'!C17</f>
        <v>Jets</v>
      </c>
      <c r="C17" s="31" t="str" cm="1">
        <f t="array" ref="C17">_xlfn.LET(_xlpm.actual, 'Actual nfl first round'!D17,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Kenyon Sadiq</v>
      </c>
      <c r="D17" s="32" t="str">
        <f>'Colin''s Mock'!D17</f>
        <v>Monroe Freeling</v>
      </c>
      <c r="E17" s="32" t="str">
        <f>_xlfn.LET(_xlpm.raw, 'Other analyst '!C17, _xlpm.s, IF(LEFT(_xlpm.raw,1)="[", MID(_xlpm.raw, FIND("] ",_xlpm.raw)+2, 999), _xlpm.raw), IFERROR(TRIM(LEFT(_xlpm.s, FIND(" (",_xlpm.s)-1)), _xlpm.raw))</f>
        <v>Makai Lemon</v>
      </c>
      <c r="F17" s="32" t="str">
        <f>_xlfn.LET(_xlpm.raw, 'Other analyst '!D17, _xlpm.s, IF(LEFT(_xlpm.raw,1)="[", MID(_xlpm.raw, FIND("] ",_xlpm.raw)+2, 999), _xlpm.raw), IFERROR(TRIM(LEFT(_xlpm.s, FIND(" (",_xlpm.s)-1)), _xlpm.raw))</f>
        <v>Omar Cooper Jr.</v>
      </c>
      <c r="G17" s="32" t="str">
        <f>_xlfn.LET(_xlpm.raw, 'Other analyst '!E17, _xlpm.s, IF(LEFT(_xlpm.raw,1)="[", MID(_xlpm.raw, FIND("] ",_xlpm.raw)+2, 999), _xlpm.raw), IFERROR(TRIM(LEFT(_xlpm.s, FIND(" (",_xlpm.s)-1)), _xlpm.raw))</f>
        <v>Makai Lemon</v>
      </c>
      <c r="H17" s="32" t="str">
        <f>_xlfn.LET(_xlpm.raw, 'Other analyst '!F17, _xlpm.s, IF(LEFT(_xlpm.raw,1)="[", MID(_xlpm.raw, FIND("] ",_xlpm.raw)+2, 999), _xlpm.raw), IFERROR(TRIM(LEFT(_xlpm.s, FIND(" (",_xlpm.s)-1)), _xlpm.raw))</f>
        <v>Omar Cooper Jr.</v>
      </c>
      <c r="I17" s="32" t="str">
        <f>_xlfn.LET(_xlpm.raw, 'Other analyst '!G17, _xlpm.s, IF(LEFT(_xlpm.raw,1)="[", MID(_xlpm.raw, FIND("] ",_xlpm.raw)+2, 999), _xlpm.raw), IFERROR(TRIM(LEFT(_xlpm.s, FIND(" (",_xlpm.s)-1)), _xlpm.raw))</f>
        <v>Jordyn Tyson</v>
      </c>
      <c r="K17" s="1">
        <f t="shared" si="0"/>
        <v>0</v>
      </c>
      <c r="L17" s="1">
        <f t="shared" si="1"/>
        <v>0</v>
      </c>
      <c r="M17" s="1">
        <f t="shared" si="2"/>
        <v>0</v>
      </c>
      <c r="N17" s="1">
        <f t="shared" si="3"/>
        <v>0</v>
      </c>
      <c r="O17" s="1">
        <f t="shared" si="4"/>
        <v>0</v>
      </c>
      <c r="P17" s="1">
        <f t="shared" si="5"/>
        <v>0</v>
      </c>
      <c r="Q17" s="1" cm="1">
        <f t="array" ref="Q17">IF(D17="", 0, IF(SUMPRODUCT(--(ISNUMBER(SEARCH(D17, $C$2:$C$33)) + ISNUMBER(SEARCH($C$2:$C$33, D17))))&gt;0, 1, 0))</f>
        <v>1</v>
      </c>
      <c r="R17" s="1" cm="1">
        <f t="array" ref="R17">IF(E17="", 0, IF(SUMPRODUCT(--(ISNUMBER(SEARCH(E17, $C$2:$C$33)) + ISNUMBER(SEARCH($C$2:$C$33, E17))))&gt;0, 1, 0))</f>
        <v>1</v>
      </c>
      <c r="S17" s="1" cm="1">
        <f t="array" ref="S17">IF(F17="", 0, IF(SUMPRODUCT(--(ISNUMBER(SEARCH(F17, $C$2:$C$33)) + ISNUMBER(SEARCH($C$2:$C$33, F17))))&gt;0, 1, 0))</f>
        <v>1</v>
      </c>
      <c r="T17" s="1" cm="1">
        <f t="array" ref="T17">IF(G17="", 0, IF(SUMPRODUCT(--(ISNUMBER(SEARCH(G17, $C$2:$C$33)) + ISNUMBER(SEARCH($C$2:$C$33, G17))))&gt;0, 1, 0))</f>
        <v>1</v>
      </c>
      <c r="U17" s="1" cm="1">
        <f t="array" ref="U17">IF(H17="", 0, IF(SUMPRODUCT(--(ISNUMBER(SEARCH(H17, $C$2:$C$33)) + ISNUMBER(SEARCH($C$2:$C$33, H17))))&gt;0, 1, 0))</f>
        <v>1</v>
      </c>
      <c r="V17" s="1" cm="1">
        <f t="array" ref="V17">IF(I17="", 0, IF(SUMPRODUCT(--(ISNUMBER(SEARCH(I17, $C$2:$C$33)) + ISNUMBER(SEARCH($C$2:$C$33, I17))))&gt;0, 1, 0))</f>
        <v>1</v>
      </c>
      <c r="W17" s="1" cm="1">
        <f t="array" ref="W17">IF(D17="",0,IF(SUMPRODUCT((ISNUMBER(SEARCH(D17,$C$2:$C$33))+ISNUMBER(SEARCH($C$2:$C$33,D17)))*($B$2:$B$33=$B17))&gt;0,1,0))</f>
        <v>0</v>
      </c>
      <c r="X17" s="1" cm="1">
        <f t="array" ref="X17">IF(E17="",0,IF(SUMPRODUCT((ISNUMBER(SEARCH(E17,$C$2:$C$33))+ISNUMBER(SEARCH($C$2:$C$33,E17)))*($B$2:$B$33=$B17))&gt;0,1,0))</f>
        <v>0</v>
      </c>
      <c r="Y17" s="1" cm="1">
        <f t="array" ref="Y17">IF(F17="",0,IF(SUMPRODUCT((ISNUMBER(SEARCH(F17,$C$2:$C$33))+ISNUMBER(SEARCH($C$2:$C$33,F17)))*($B$2:$B$33=$B17))&gt;0,1,0))</f>
        <v>1</v>
      </c>
      <c r="Z17" s="1" cm="1">
        <f t="array" ref="Z17">IF(G17="",0,IF(SUMPRODUCT((ISNUMBER(SEARCH(G17,$C$2:$C$33))+ISNUMBER(SEARCH($C$2:$C$33,G17)))*($B$2:$B$33=$B17))&gt;0,1,0))</f>
        <v>0</v>
      </c>
      <c r="AA17" s="1" cm="1">
        <f t="array" ref="AA17">IF(H17="",0,IF(SUMPRODUCT((ISNUMBER(SEARCH(H17,$C$2:$C$33))+ISNUMBER(SEARCH($C$2:$C$33,H17)))*($B$2:$B$33=$B17))&gt;0,1,0))</f>
        <v>1</v>
      </c>
      <c r="AB17" s="1" cm="1">
        <f t="array" ref="AB17">IF(I17="",0,IF(SUMPRODUCT((ISNUMBER(SEARCH(I17,$C$2:$C$33))+ISNUMBER(SEARCH($C$2:$C$33,I17)))*($B$2:$B$33=$B17))&gt;0,1,0))</f>
        <v>0</v>
      </c>
      <c r="AC17" s="37" t="s">
        <v>228</v>
      </c>
      <c r="AD17" s="37" t="s">
        <v>228</v>
      </c>
      <c r="AE17" s="36" t="s">
        <v>26</v>
      </c>
      <c r="AF17">
        <f t="shared" si="6"/>
        <v>0</v>
      </c>
      <c r="AG17" cm="1">
        <f t="array" ref="AG17">IF(AC17="",0,IF(SUMPRODUCT((ISNUMBER(SEARCH(AC17,$C$2:$C$33))+ISNUMBER(SEARCH($C$2:$C$33,AC17))))&gt;0,1,0))</f>
        <v>1</v>
      </c>
      <c r="AH17" cm="1">
        <f t="array" ref="AH17">IF(AC17="",0,IF(SUMPRODUCT((ISNUMBER(SEARCH(AC17,$C$2:$C$33))+ISNUMBER(SEARCH($C$2:$C$33,AC17)))*($B$2:$B$33=$B17))&gt;0,1,0))</f>
        <v>1</v>
      </c>
      <c r="AI17">
        <f t="shared" si="7"/>
        <v>0</v>
      </c>
      <c r="AJ17" cm="1">
        <f t="array" ref="AJ17">IF(AD17="",0,IF(SUMPRODUCT((ISNUMBER(SEARCH(AD17,$C$2:$C$33))+ISNUMBER(SEARCH($C$2:$C$33,AD17))))&gt;0,1,0))</f>
        <v>1</v>
      </c>
      <c r="AK17" cm="1">
        <f t="array" ref="AK17">IF(AD17="",0,IF(SUMPRODUCT((ISNUMBER(SEARCH(AD17,$C$2:$C$33))+ISNUMBER(SEARCH($C$2:$C$33,AD17)))*($B$2:$B$33=$B17))&gt;0,1,0))</f>
        <v>1</v>
      </c>
      <c r="AL17">
        <f t="shared" si="8"/>
        <v>0</v>
      </c>
      <c r="AM17" cm="1">
        <f t="array" ref="AM17">IF(AE17="",0,IF(SUMPRODUCT((ISNUMBER(SEARCH(AE17,$C$2:$C$33))+ISNUMBER(SEARCH($C$2:$C$33,AE17))))&gt;0,1,0))</f>
        <v>1</v>
      </c>
      <c r="AN17" cm="1">
        <f t="array" ref="AN17">IF(AE17="",0,IF(SUMPRODUCT((ISNUMBER(SEARCH(AE17,$C$2:$C$33))+ISNUMBER(SEARCH($C$2:$C$33,AE17)))*($B$2:$B$33=$B17))&gt;0,1,0))</f>
        <v>0</v>
      </c>
      <c r="AO17" s="64" t="str" cm="1">
        <f t="array" ref="AO17">_xlfn.LET(_xlpm.raw,'Other analyst '!K17,_xlpm.mockNames,'Colin''s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Monroe Freeling</v>
      </c>
      <c r="AP17">
        <f>IF(OR(AO17="",AO17=0),0,IF(OR(ISNUMBER(SEARCH(AO17,$C17)),ISNUMBER(SEARCH($C17,AO17))),1,0))</f>
        <v>0</v>
      </c>
      <c r="AQ17" cm="1">
        <f t="array" ref="AQ17">IF(OR(AO17="",AO17=0),0,IF(SUMPRODUCT(--(ISNUMBER(SEARCH(AO17,$C$2:$C$33))+ISNUMBER(SEARCH($C$2:$C$33,AO17))))&gt;0,1,0))</f>
        <v>1</v>
      </c>
      <c r="AR17" cm="1">
        <f t="array" ref="AR17">IF(OR(AO17="",AO17=0),0,IF(SUMPRODUCT((ISNUMBER(SEARCH(AO17,$C$2:$C$33))+ISNUMBER(SEARCH($C$2:$C$33,AO17)))*($B$2:$B$33=$B17))&gt;0,1,0))</f>
        <v>0</v>
      </c>
      <c r="AS17" s="64" t="str" cm="1">
        <f t="array" ref="AS17">_xlfn.LET(_xlpm.raw,'Other analyst '!L17,_xlpm.mockNames,'Colin''s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Jordyn Tyson</v>
      </c>
      <c r="AT17">
        <f>IF(OR(AS17="",AS17=0),0,IF(OR(ISNUMBER(SEARCH(AS17,$C17)),ISNUMBER(SEARCH($C17,AS17))),1,0))</f>
        <v>0</v>
      </c>
      <c r="AU17" cm="1">
        <f t="array" ref="AU17">IF(OR(AS17="",AS17=0),0,IF(SUMPRODUCT(--(ISNUMBER(SEARCH(AS17,$C$2:$C$33))+ISNUMBER(SEARCH($C$2:$C$33,AS17))))&gt;0,1,0))</f>
        <v>1</v>
      </c>
      <c r="AV17" cm="1">
        <f t="array" ref="AV17">IF(OR(AS17="",AS17=0),0,IF(SUMPRODUCT((ISNUMBER(SEARCH(AS17,$C$2:$C$33))+ISNUMBER(SEARCH($C$2:$C$33,AS17)))*($B$2:$B$33=$B17))&gt;0,1,0))</f>
        <v>0</v>
      </c>
      <c r="AW17" s="64" t="str" cm="1">
        <f t="array" ref="AW17">_xlfn.LET(_xlpm.raw,'Other analyst '!M17,_xlpm.mockNames,'Colin''s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Keldric Faulk</v>
      </c>
      <c r="AX17">
        <f>IF(OR(AW17="",AW17=0),0,IF(OR(ISNUMBER(SEARCH(AW17,$C17)),ISNUMBER(SEARCH($C17,AW17))),1,0))</f>
        <v>0</v>
      </c>
      <c r="AY17" cm="1">
        <f t="array" ref="AY17">IF(OR(AW17="",AW17=0),0,IF(SUMPRODUCT(--(ISNUMBER(SEARCH(AW17,$C$2:$C$33))+ISNUMBER(SEARCH($C$2:$C$33,AW17))))&gt;0,1,0))</f>
        <v>1</v>
      </c>
      <c r="AZ17" cm="1">
        <f t="array" ref="AZ17">IF(OR(AW17="",AW17=0),0,IF(SUMPRODUCT((ISNUMBER(SEARCH(AW17,$C$2:$C$33))+ISNUMBER(SEARCH($C$2:$C$33,AW17)))*($B$2:$B$33=$B17))&gt;0,1,0))</f>
        <v>0</v>
      </c>
      <c r="BA17" s="64" t="str" cm="1">
        <f t="array" ref="BA17">_xlfn.LET(_xlpm.raw,'Other analyst '!N17,_xlpm.mockNames,'Colin''s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Makai Lemon</v>
      </c>
      <c r="BB17">
        <f>IF(OR(BA17="",BA17=0),0,IF(OR(ISNUMBER(SEARCH(BA17,$C17)),ISNUMBER(SEARCH($C17,BA17))),1,0))</f>
        <v>0</v>
      </c>
      <c r="BC17" cm="1">
        <f t="array" ref="BC17">IF(OR(BA17="",BA17=0),0,IF(SUMPRODUCT(--(ISNUMBER(SEARCH(BA17,$C$2:$C$33))+ISNUMBER(SEARCH($C$2:$C$33,BA17))))&gt;0,1,0))</f>
        <v>1</v>
      </c>
      <c r="BD17" cm="1">
        <f t="array" ref="BD17">IF(OR(BA17="",BA17=0),0,IF(SUMPRODUCT((ISNUMBER(SEARCH(BA17,$C$2:$C$33))+ISNUMBER(SEARCH($C$2:$C$33,BA17)))*($B$2:$B$33=$B17))&gt;0,1,0))</f>
        <v>0</v>
      </c>
      <c r="BE17" s="64" t="str" cm="1">
        <f t="array" ref="BE17">_xlfn.LET(_xlpm.raw,'Other analyst '!O17,_xlpm.mockNames,'Colin''s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Makai Lemon</v>
      </c>
      <c r="BF17">
        <f>IF(OR(BE17="",BE17=0),0,IF(OR(ISNUMBER(SEARCH(BE17,$C17)),ISNUMBER(SEARCH($C17,BE17))),1,0))</f>
        <v>0</v>
      </c>
      <c r="BG17" cm="1">
        <f t="array" ref="BG17">IF(OR(BE17="",BE17=0),0,IF(SUMPRODUCT(--(ISNUMBER(SEARCH(BE17,$C$2:$C$33))+ISNUMBER(SEARCH($C$2:$C$33,BE17))))&gt;0,1,0))</f>
        <v>1</v>
      </c>
      <c r="BH17" cm="1">
        <f t="array" ref="BH17">IF(OR(BE17="",BE17=0),0,IF(SUMPRODUCT((ISNUMBER(SEARCH(BE17,$C$2:$C$33))+ISNUMBER(SEARCH($C$2:$C$33,BE17)))*($B$2:$B$33=$B17))&gt;0,1,0))</f>
        <v>0</v>
      </c>
      <c r="BI17" s="64" t="str" cm="1">
        <f t="array" ref="BI17">_xlfn.LET(_xlpm.raw,'Other analyst '!P17,_xlpm.mockNames,'Colin''s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Makai Lemon</v>
      </c>
      <c r="BJ17">
        <f>IF(OR(BI17="",BI17=0),0,IF(OR(ISNUMBER(SEARCH(BI17,$C17)),ISNUMBER(SEARCH($C17,BI17))),1,0))</f>
        <v>0</v>
      </c>
      <c r="BK17" cm="1">
        <f t="array" ref="BK17">IF(OR(BI17="",BI17=0),0,IF(SUMPRODUCT(--(ISNUMBER(SEARCH(BI17,$C$2:$C$33))+ISNUMBER(SEARCH($C$2:$C$33,BI17))))&gt;0,1,0))</f>
        <v>1</v>
      </c>
      <c r="BL17" cm="1">
        <f t="array" ref="BL17">IF(OR(BI17="",BI17=0),0,IF(SUMPRODUCT((ISNUMBER(SEARCH(BI17,$C$2:$C$33))+ISNUMBER(SEARCH($C$2:$C$33,BI17)))*($B$2:$B$33=$B17))&gt;0,1,0))</f>
        <v>0</v>
      </c>
      <c r="BM17" s="67" t="str" cm="1">
        <f t="array" ref="BM17">_xlfn.LET(_xlpm.raw,'Other analyst '!Q17,_xlpm.mockNames,'Colin''s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Omar Cooper Jr.</v>
      </c>
      <c r="BN17">
        <f>IF(OR(BM17="",BM17=0),0,IF(OR(ISNUMBER(SEARCH(BM17,$C17)),ISNUMBER(SEARCH($C17,BM17))),1,0))</f>
        <v>0</v>
      </c>
      <c r="BO17" cm="1">
        <f t="array" ref="BO17">IF(OR(BM17="",BM17=0),0,IF(SUMPRODUCT(--(ISNUMBER(SEARCH(BM17,$C$2:$C$33))+ISNUMBER(SEARCH($C$2:$C$33,BM17))))&gt;0,1,0))</f>
        <v>1</v>
      </c>
      <c r="BP17" cm="1">
        <f t="array" ref="BP17">IF(OR(BM17="",BM17=0),0,IF(SUMPRODUCT((ISNUMBER(SEARCH(BM17,$C$2:$C$33))+ISNUMBER(SEARCH($C$2:$C$33,BM17)))*($B$2:$B$33=$B17))&gt;0,1,0))</f>
        <v>1</v>
      </c>
      <c r="BQ17" s="64" t="str" cm="1">
        <f t="array" ref="BQ17">_xlfn.LET(_xlpm.raw,'Other analyst '!R17,_xlpm.mockNames,'Colin''s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Carnell Tate</v>
      </c>
      <c r="BR17">
        <f>IF(OR(BQ17="",BQ17=0),0,IF(OR(ISNUMBER(SEARCH(BQ17,$C17)),ISNUMBER(SEARCH($C17,BQ17))),1,0))</f>
        <v>0</v>
      </c>
      <c r="BS17" cm="1">
        <f t="array" ref="BS17">IF(OR(BQ17="",BQ17=0),0,IF(SUMPRODUCT(--(ISNUMBER(SEARCH(BQ17,$C$2:$C$33))+ISNUMBER(SEARCH($C$2:$C$33,BQ17))))&gt;0,1,0))</f>
        <v>1</v>
      </c>
      <c r="BT17" cm="1">
        <f t="array" ref="BT17">IF(OR(BQ17="",BQ17=0),0,IF(SUMPRODUCT((ISNUMBER(SEARCH(BQ17,$C$2:$C$33))+ISNUMBER(SEARCH($C$2:$C$33,BQ17)))*($B$2:$B$33=$B17))&gt;0,1,0))</f>
        <v>0</v>
      </c>
      <c r="BU17" s="76" t="str">
        <f>'Colin Mock wTrade'!D17</f>
        <v>Monroe Freeling</v>
      </c>
      <c r="BV17">
        <f>IF(BU17="",0,IF(OR(ISNUMBER(SEARCH(BU17,C17)),ISNUMBER(SEARCH(C17,BU17))),1,0))</f>
        <v>0</v>
      </c>
      <c r="BW17" cm="1">
        <f t="array" ref="BW17">IF(BU17="",0,IF(SUMPRODUCT(--(ISNUMBER(SEARCH(BU17,$C$2:$C$33))+ISNUMBER(SEARCH($C$2:$C$33,BU17))))&gt;0,1,0))</f>
        <v>1</v>
      </c>
      <c r="BX17" cm="1">
        <f t="array" ref="BX17">IF(BU17="",0,IFERROR(IF(SUMPRODUCT((ISNUMBER(SEARCH(BU17,$C$2:$C$33))+ISNUMBER(SEARCH($C$2:$C$33,BU17)))*($B$2:$B$33=VLOOKUP('Colin Mock wTrade'!C17,$CA$1:$CB$32,2,FALSE)))&gt;0,1,0),0))</f>
        <v>0</v>
      </c>
      <c r="CA17" t="s">
        <v>64</v>
      </c>
      <c r="CB17" t="s">
        <v>418</v>
      </c>
      <c r="CC17" t="str">
        <f>'Other analyst '!S17</f>
        <v>Omar Cooper Jr.</v>
      </c>
      <c r="CD17">
        <f t="shared" si="9"/>
        <v>0</v>
      </c>
      <c r="CE17" cm="1">
        <f t="array" ref="CE17">IF(CC17="",0,IF(SUMPRODUCT(--(ISNUMBER(SEARCH(CC17,$C$2:$C$33))+ISNUMBER(SEARCH($C$2:$C$33,CC17))))&gt;0,1,0))</f>
        <v>1</v>
      </c>
      <c r="CF17" cm="1">
        <f t="array" ref="CF17">IF(CC17="",0,IF(SUMPRODUCT((ISNUMBER(SEARCH(CC17,$C$2:$C$33))+ISNUMBER(SEARCH($C$2:$C$33,CC17)))*($B$2:$B$33=$B17))&gt;0,1,0))</f>
        <v>1</v>
      </c>
      <c r="CG17" t="str">
        <f>'Other analyst '!T17</f>
        <v>Makai Lemon</v>
      </c>
      <c r="CH17">
        <f t="shared" si="10"/>
        <v>0</v>
      </c>
      <c r="CI17" cm="1">
        <f t="array" ref="CI17">IF(CG17="",0,IF(SUMPRODUCT(--(ISNUMBER(SEARCH(CG17,$C$2:$C$33))+ISNUMBER(SEARCH($C$2:$C$33,CG17))))&gt;0,1,0))</f>
        <v>1</v>
      </c>
      <c r="CJ17" cm="1">
        <f t="array" ref="CJ17">IF(CG17="",0,IF(SUMPRODUCT((ISNUMBER(SEARCH(CG17,$C$2:$C$33))+ISNUMBER(SEARCH($C$2:$C$33,CG17)))*($B$2:$B$33=$B17))&gt;0,1,0))</f>
        <v>0</v>
      </c>
      <c r="CK17" t="str">
        <f>'Other analyst '!U17</f>
        <v>Monroe Freeling</v>
      </c>
      <c r="CL17">
        <f t="shared" si="11"/>
        <v>0</v>
      </c>
      <c r="CM17" cm="1">
        <f t="array" ref="CM17">IF(CK17="",0,IF(SUMPRODUCT(--(ISNUMBER(SEARCH(CK17,$C$2:$C$33))+ISNUMBER(SEARCH($C$2:$C$33,CK17))))&gt;0,1,0))</f>
        <v>1</v>
      </c>
      <c r="CN17" cm="1">
        <f t="array" ref="CN17">IF(CK17="",0,IF(SUMPRODUCT((ISNUMBER(SEARCH(CK17,$C$2:$C$33))+ISNUMBER(SEARCH($C$2:$C$33,CK17)))*($B$2:$B$33=$B17))&gt;0,1,0))</f>
        <v>0</v>
      </c>
      <c r="CO17" t="str">
        <f>'Other analyst '!V17</f>
        <v>Charlie Becker</v>
      </c>
      <c r="CP17">
        <f t="shared" si="12"/>
        <v>0</v>
      </c>
      <c r="CQ17" cm="1">
        <f t="array" ref="CQ17">IF(CO17="",0,IF(SUMPRODUCT(--(ISNUMBER(SEARCH(CO17,$C$2:$C$33))+ISNUMBER(SEARCH($C$2:$C$33,CO17))))&gt;0,1,0))</f>
        <v>0</v>
      </c>
      <c r="CR17" cm="1">
        <f t="array" ref="CR17">IF(CO17="",0,IF(SUMPRODUCT((ISNUMBER(SEARCH(CO17,$C$2:$C$33))+ISNUMBER(SEARCH($C$2:$C$33,CO17)))*($B$2:$B$33=$B17))&gt;0,1,0))</f>
        <v>0</v>
      </c>
      <c r="CS17" s="35" t="str">
        <f>'Other analyst '!W17</f>
        <v>Kenyon Sadiq</v>
      </c>
      <c r="CT17">
        <f t="shared" si="13"/>
        <v>1</v>
      </c>
      <c r="CU17" cm="1">
        <f t="array" ref="CU17">IF(CS17="",0,IF(SUMPRODUCT(--(ISNUMBER(SEARCH(CS17,$C$2:$C$33))+ISNUMBER(SEARCH($C$2:$C$33,CS17))))&gt;0,1,0))</f>
        <v>1</v>
      </c>
      <c r="CV17" cm="1">
        <f t="array" ref="CV17">IF(CS17="",0,IFERROR(IF(SUMPRODUCT((ISNUMBER(SEARCH(CS17,$C$2:$C$33))+ISNUMBER(SEARCH($C$2:$C$33,CS17)))*(ISNUMBER(SEARCH($B$2:$B$33,'Other analyst '!B17))+ISNUMBER(SEARCH('Other analyst '!B17,$B$2:$B$33))))&gt;0,1,0),0))</f>
        <v>1</v>
      </c>
      <c r="CW17" s="36" t="str">
        <f>'Other analyst '!AD17</f>
        <v>Kadyn Proctor</v>
      </c>
      <c r="CX17">
        <f t="shared" si="14"/>
        <v>0</v>
      </c>
      <c r="CY17" cm="1">
        <f t="array" ref="CY17">IF(CW17="",0,IF(SUMPRODUCT(--(ISNUMBER(SEARCH(CW17,$C$2:$C$33))+ISNUMBER(SEARCH($C$2:$C$33,CW17))))&gt;0,1,0))</f>
        <v>1</v>
      </c>
      <c r="CZ17" cm="1">
        <f t="array" ref="CZ17">IF(CW17="",0,IF(SUMPRODUCT((ISNUMBER(SEARCH(CW17,$C$2:$C$33))+ISNUMBER(SEARCH($C$2:$C$33,CW17)))*($B$2:$B$33=$B17))&gt;0,1,0))</f>
        <v>0</v>
      </c>
      <c r="DA17" s="36" t="str">
        <f>'Other analyst '!AE17</f>
        <v>Jermod McCoy</v>
      </c>
      <c r="DB17">
        <f t="shared" si="15"/>
        <v>0</v>
      </c>
      <c r="DC17" cm="1">
        <f t="array" ref="DC17">IF(DA17="",0,IF(SUMPRODUCT(--(ISNUMBER(SEARCH(DA17,$C$2:$C$33))+ISNUMBER(SEARCH($C$2:$C$33,DA17))))&gt;0,1,0))</f>
        <v>0</v>
      </c>
      <c r="DD17" cm="1">
        <f t="array" ref="DD17">IF(DA17="",0,IF(SUMPRODUCT((ISNUMBER(SEARCH(DA17,$C$2:$C$33))+ISNUMBER(SEARCH($C$2:$C$33,DA17)))*($B$2:$B$33=$B17))&gt;0,1,0))</f>
        <v>0</v>
      </c>
      <c r="DE17" s="36" t="str">
        <f>'Other analyst '!AF17</f>
        <v>Jordyn Tyson</v>
      </c>
      <c r="DF17">
        <f t="shared" si="16"/>
        <v>0</v>
      </c>
      <c r="DG17" cm="1">
        <f t="array" ref="DG17">IF(DE17="",0,IF(SUMPRODUCT(--(ISNUMBER(SEARCH(DE17,$C$2:$C$33))+ISNUMBER(SEARCH($C$2:$C$33,DE17))))&gt;0,1,0))</f>
        <v>1</v>
      </c>
      <c r="DH17" cm="1">
        <f t="array" ref="DH17">IF(DE17="",0,IF(SUMPRODUCT((ISNUMBER(SEARCH(DE17,$C$2:$C$33))+ISNUMBER(SEARCH($C$2:$C$33,DE17)))*($B$2:$B$33=$B17))&gt;0,1,0))</f>
        <v>0</v>
      </c>
      <c r="DI17" s="36" t="str">
        <f>'Other analyst '!AG17</f>
        <v>Denzel Boston</v>
      </c>
      <c r="DJ17">
        <f t="shared" si="17"/>
        <v>0</v>
      </c>
      <c r="DK17" cm="1">
        <f t="array" ref="DK17">IF(DI17="",0,IF(SUMPRODUCT(--(ISNUMBER(SEARCH(DI17,$C$2:$C$33))+ISNUMBER(SEARCH($C$2:$C$33,DI17))))&gt;0,1,0))</f>
        <v>0</v>
      </c>
      <c r="DL17" cm="1">
        <f t="array" ref="DL17">IF(DI17="",0,IF(SUMPRODUCT((ISNUMBER(SEARCH(DI17,$C$2:$C$33))+ISNUMBER(SEARCH($C$2:$C$33,DI17)))*($B$2:$B$33=$B17))&gt;0,1,0))</f>
        <v>0</v>
      </c>
      <c r="DM17" s="78" t="str">
        <f>'Other analyst '!AB17</f>
        <v>Omar Cooper Jr.</v>
      </c>
      <c r="DN17">
        <f t="shared" si="18"/>
        <v>0</v>
      </c>
      <c r="DO17" cm="1">
        <f t="array" ref="DO17">IF(DM17="",0,IF(SUMPRODUCT(--(ISNUMBER(SEARCH(DM17,$C$2:$C$33))+ISNUMBER(SEARCH($C$2:$C$33,DM17))))&gt;0,1,0))</f>
        <v>1</v>
      </c>
      <c r="DP17" cm="1">
        <f t="array" ref="DP17">IF(DM17="",0,IFERROR(IF(SUMPRODUCT((ISNUMBER(SEARCH(DM17,$C$2:$C$33))+ISNUMBER(SEARCH($C$2:$C$33,DM17)))*(ISNUMBER(SEARCH($B$2:$B$33,'Other analyst '!B17))+ISNUMBER(SEARCH('Other analyst '!B17,$B$2:$B$33))))&gt;0,1,0),0))</f>
        <v>1</v>
      </c>
      <c r="DQ17" s="78" t="str">
        <f>'Other analyst '!AC17</f>
        <v>Omar Cooper Jr.</v>
      </c>
      <c r="DR17">
        <f t="shared" si="19"/>
        <v>0</v>
      </c>
      <c r="DS17" cm="1">
        <f t="array" ref="DS17">IF(DQ17="",0,IF(SUMPRODUCT(--(ISNUMBER(SEARCH(DQ17,$C$2:$C$33))+ISNUMBER(SEARCH($C$2:$C$33,DQ17))))&gt;0,1,0))</f>
        <v>1</v>
      </c>
      <c r="DT17" cm="1">
        <f t="array" ref="DT17">IF(DQ17="",0,IFERROR(IF(SUMPRODUCT((ISNUMBER(SEARCH(DQ17,$C$2:$C$33))+ISNUMBER(SEARCH($C$2:$C$33,DQ17)))*(ISNUMBER(SEARCH($B$2:$B$33,'Other analyst '!B17))+ISNUMBER(SEARCH('Other analyst '!B17,$B$2:$B$33))))&gt;0,1,0),0))</f>
        <v>1</v>
      </c>
      <c r="DU17" t="str">
        <f>IFERROR(TRIM(LEFT(IF(ISNUMBER(SEARCH("]",'Other analyst '!X17)),MID('Other analyst '!X17,SEARCH("]",'Other analyst '!X17)+1,200),'Other analyst '!X17),IFERROR(SEARCH(" (",IF(ISNUMBER(SEARCH("]",'Other analyst '!X17)),MID('Other analyst '!X17,SEARCH("]",'Other analyst '!X17)+1,200),'Other analyst '!X17))-1,LEN('Other analyst '!X17)))),"")</f>
        <v>Olaivavega Ioane</v>
      </c>
      <c r="DV17">
        <f>IF(DU17="",0,IF(OR(ISNUMBER(SEARCH(DU17,C17)),ISNUMBER(SEARCH(C17,DU17))),1,0))</f>
        <v>0</v>
      </c>
      <c r="DW17" cm="1">
        <f t="array" ref="DW17">IF(DU17="",0,IF(SUMPRODUCT((ISNUMBER(SEARCH(DU17,$C$2:$C$33))+ISNUMBER(SEARCH($C$2:$C$33,DU17))))&gt;0,1,0))</f>
        <v>1</v>
      </c>
      <c r="DX17">
        <v>0</v>
      </c>
      <c r="DY17" t="str">
        <f>IFERROR(TRIM(LEFT(IF(ISNUMBER(SEARCH("]",'Other analyst '!Y17)),MID('Other analyst '!Y17,SEARCH("]",'Other analyst '!Y17)+1,200),'Other analyst '!Y17),IFERROR(SEARCH(" (",IF(ISNUMBER(SEARCH("]",'Other analyst '!Y17)),MID('Other analyst '!Y17,SEARCH("]",'Other analyst '!Y17)+1,200),'Other analyst '!Y17))-1,LEN('Other analyst '!Y17)))),"")</f>
        <v>Spencer Fano</v>
      </c>
      <c r="DZ17">
        <f>IF(DY17="",0,IF(OR(ISNUMBER(SEARCH(DY17,C17)),ISNUMBER(SEARCH(C17,DY17))),1,0))</f>
        <v>0</v>
      </c>
      <c r="EA17" cm="1">
        <f t="array" ref="EA17">IF(DY17="",0,IF(SUMPRODUCT((ISNUMBER(SEARCH(DY17,$C$2:$C$33))+ISNUMBER(SEARCH($C$2:$C$33,DY17))))&gt;0,1,0))</f>
        <v>1</v>
      </c>
      <c r="EB17">
        <v>0</v>
      </c>
      <c r="EC17" t="str">
        <f>IFERROR(TRIM(LEFT(IF(ISNUMBER(SEARCH("]",'Other analyst '!Z17)),MID('Other analyst '!Z17,SEARCH("]",'Other analyst '!Z17)+1,200),'Other analyst '!Z17),IFERROR(SEARCH(" (",IF(ISNUMBER(SEARCH("]",'Other analyst '!Z17)),MID('Other analyst '!Z17,SEARCH("]",'Other analyst '!Z17)+1,200),'Other analyst '!Z17))-1,LEN('Other analyst '!Z17)))),"")</f>
        <v>Ty Simpson</v>
      </c>
      <c r="ED17">
        <f>IF(EC17="",0,IF(OR(ISNUMBER(SEARCH(EC17,C17)),ISNUMBER(SEARCH(C17,EC17))),1,0))</f>
        <v>0</v>
      </c>
      <c r="EE17" cm="1">
        <f t="array" ref="EE17">IF(EC17="",0,IF(SUMPRODUCT((ISNUMBER(SEARCH(EC17,$C$2:$C$33))+ISNUMBER(SEARCH($C$2:$C$33,EC17))))&gt;0,1,0))</f>
        <v>1</v>
      </c>
      <c r="EF17">
        <v>0</v>
      </c>
      <c r="EG17" t="str">
        <f>IFERROR(TRIM(LEFT(IF(ISNUMBER(SEARCH("]",'Other analyst '!AA17)),MID('Other analyst '!AA17,SEARCH("]",'Other analyst '!AA17)+1,200),'Other analyst '!AA17),IFERROR(SEARCH(" (",IF(ISNUMBER(SEARCH("]",'Other analyst '!AA17)),MID('Other analyst '!AA17,SEARCH("]",'Other analyst '!AA17)+1,200),'Other analyst '!AA17))-1,LEN('Other analyst '!AA17)))),"")</f>
        <v>Makai Lemon</v>
      </c>
      <c r="EH17">
        <f>IF(EG17="",0,IF(OR(ISNUMBER(SEARCH(EG17,C17)),ISNUMBER(SEARCH(C17,EG17))),1,0))</f>
        <v>0</v>
      </c>
      <c r="EI17" cm="1">
        <f t="array" ref="EI17">IF(EG17="",0,IF(SUMPRODUCT((ISNUMBER(SEARCH(EG17,$C$2:$C$33))+ISNUMBER(SEARCH($C$2:$C$33,EG17))))&gt;0,1,0))</f>
        <v>1</v>
      </c>
      <c r="EJ17">
        <v>0</v>
      </c>
      <c r="EK17">
        <f>K17+L17+M17+N17+O17+P17+AF17+AI17+AL17+AP17+AT17+AX17+BB17+BF17+BJ17+BN17+BR17+BV17+CD17+CH17+CL17+CP17+CT17+DV17+DZ17+ED17+EH17+DN17+DR17+CX17+DB17+DF17+DJ17</f>
        <v>1</v>
      </c>
    </row>
    <row r="18" spans="1:141">
      <c r="A18" s="30">
        <v>17</v>
      </c>
      <c r="B18" s="30" t="str">
        <f>'Actual nfl first round'!C18</f>
        <v>Lions</v>
      </c>
      <c r="C18" s="31" t="str" cm="1">
        <f t="array" ref="C18">_xlfn.LET(_xlpm.actual, 'Actual nfl first round'!D18,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Blake Miller</v>
      </c>
      <c r="D18" s="32" t="str">
        <f>'Colin''s Mock'!D18</f>
        <v>Dillon Thieneman</v>
      </c>
      <c r="E18" s="32" t="str">
        <f>_xlfn.LET(_xlpm.raw, 'Other analyst '!C18, _xlpm.s, IF(LEFT(_xlpm.raw,1)="[", MID(_xlpm.raw, FIND("] ",_xlpm.raw)+2, 999), _xlpm.raw), IFERROR(TRIM(LEFT(_xlpm.s, FIND(" (",_xlpm.s)-1)), _xlpm.raw))</f>
        <v>Kadyn Proctor</v>
      </c>
      <c r="F18" s="32" t="str">
        <f>_xlfn.LET(_xlpm.raw, 'Other analyst '!D18, _xlpm.s, IF(LEFT(_xlpm.raw,1)="[", MID(_xlpm.raw, FIND("] ",_xlpm.raw)+2, 999), _xlpm.raw), IFERROR(TRIM(LEFT(_xlpm.s, FIND(" (",_xlpm.s)-1)), _xlpm.raw))</f>
        <v>Monroe Freeling</v>
      </c>
      <c r="G18" s="32" t="str">
        <f>_xlfn.LET(_xlpm.raw, 'Other analyst '!E18, _xlpm.s, IF(LEFT(_xlpm.raw,1)="[", MID(_xlpm.raw, FIND("] ",_xlpm.raw)+2, 999), _xlpm.raw), IFERROR(TRIM(LEFT(_xlpm.s, FIND(" (",_xlpm.s)-1)), _xlpm.raw))</f>
        <v>Kenyon Sadiq</v>
      </c>
      <c r="H18" s="32" t="str">
        <f>_xlfn.LET(_xlpm.raw, 'Other analyst '!F18, _xlpm.s, IF(LEFT(_xlpm.raw,1)="[", MID(_xlpm.raw, FIND("] ",_xlpm.raw)+2, 999), _xlpm.raw), IFERROR(TRIM(LEFT(_xlpm.s, FIND(" (",_xlpm.s)-1)), _xlpm.raw))</f>
        <v>Kadyn Proctor</v>
      </c>
      <c r="I18" s="32" t="str">
        <f>_xlfn.LET(_xlpm.raw, 'Other analyst '!G18, _xlpm.s, IF(LEFT(_xlpm.raw,1)="[", MID(_xlpm.raw, FIND("] ",_xlpm.raw)+2, 999), _xlpm.raw), IFERROR(TRIM(LEFT(_xlpm.s, FIND(" (",_xlpm.s)-1)), _xlpm.raw))</f>
        <v>Monroe Freeling</v>
      </c>
      <c r="K18" s="1">
        <f t="shared" si="0"/>
        <v>0</v>
      </c>
      <c r="L18" s="1">
        <f t="shared" si="1"/>
        <v>0</v>
      </c>
      <c r="M18" s="1">
        <f t="shared" si="2"/>
        <v>0</v>
      </c>
      <c r="N18" s="1">
        <f t="shared" si="3"/>
        <v>0</v>
      </c>
      <c r="O18" s="1">
        <f t="shared" si="4"/>
        <v>0</v>
      </c>
      <c r="P18" s="1">
        <f t="shared" si="5"/>
        <v>0</v>
      </c>
      <c r="Q18" s="1" cm="1">
        <f t="array" ref="Q18">IF(D18="", 0, IF(SUMPRODUCT(--(ISNUMBER(SEARCH(D18, $C$2:$C$33)) + ISNUMBER(SEARCH($C$2:$C$33, D18))))&gt;0, 1, 0))</f>
        <v>1</v>
      </c>
      <c r="R18" s="1" cm="1">
        <f t="array" ref="R18">IF(E18="", 0, IF(SUMPRODUCT(--(ISNUMBER(SEARCH(E18, $C$2:$C$33)) + ISNUMBER(SEARCH($C$2:$C$33, E18))))&gt;0, 1, 0))</f>
        <v>1</v>
      </c>
      <c r="S18" s="1" cm="1">
        <f t="array" ref="S18">IF(F18="", 0, IF(SUMPRODUCT(--(ISNUMBER(SEARCH(F18, $C$2:$C$33)) + ISNUMBER(SEARCH($C$2:$C$33, F18))))&gt;0, 1, 0))</f>
        <v>1</v>
      </c>
      <c r="T18" s="1" cm="1">
        <f t="array" ref="T18">IF(G18="", 0, IF(SUMPRODUCT(--(ISNUMBER(SEARCH(G18, $C$2:$C$33)) + ISNUMBER(SEARCH($C$2:$C$33, G18))))&gt;0, 1, 0))</f>
        <v>1</v>
      </c>
      <c r="U18" s="1" cm="1">
        <f t="array" ref="U18">IF(H18="", 0, IF(SUMPRODUCT(--(ISNUMBER(SEARCH(H18, $C$2:$C$33)) + ISNUMBER(SEARCH($C$2:$C$33, H18))))&gt;0, 1, 0))</f>
        <v>1</v>
      </c>
      <c r="V18" s="1" cm="1">
        <f t="array" ref="V18">IF(I18="", 0, IF(SUMPRODUCT(--(ISNUMBER(SEARCH(I18, $C$2:$C$33)) + ISNUMBER(SEARCH($C$2:$C$33, I18))))&gt;0, 1, 0))</f>
        <v>1</v>
      </c>
      <c r="W18" s="1" cm="1">
        <f t="array" ref="W18">IF(D18="",0,IF(SUMPRODUCT((ISNUMBER(SEARCH(D18,$C$2:$C$33))+ISNUMBER(SEARCH($C$2:$C$33,D18)))*($B$2:$B$33=$B18))&gt;0,1,0))</f>
        <v>0</v>
      </c>
      <c r="X18" s="1" cm="1">
        <f t="array" ref="X18">IF(E18="",0,IF(SUMPRODUCT((ISNUMBER(SEARCH(E18,$C$2:$C$33))+ISNUMBER(SEARCH($C$2:$C$33,E18)))*($B$2:$B$33=$B18))&gt;0,1,0))</f>
        <v>0</v>
      </c>
      <c r="Y18" s="1" cm="1">
        <f t="array" ref="Y18">IF(F18="",0,IF(SUMPRODUCT((ISNUMBER(SEARCH(F18,$C$2:$C$33))+ISNUMBER(SEARCH($C$2:$C$33,F18)))*($B$2:$B$33=$B18))&gt;0,1,0))</f>
        <v>0</v>
      </c>
      <c r="Z18" s="1" cm="1">
        <f t="array" ref="Z18">IF(G18="",0,IF(SUMPRODUCT((ISNUMBER(SEARCH(G18,$C$2:$C$33))+ISNUMBER(SEARCH($C$2:$C$33,G18)))*($B$2:$B$33=$B18))&gt;0,1,0))</f>
        <v>0</v>
      </c>
      <c r="AA18" s="1" cm="1">
        <f t="array" ref="AA18">IF(H18="",0,IF(SUMPRODUCT((ISNUMBER(SEARCH(H18,$C$2:$C$33))+ISNUMBER(SEARCH($C$2:$C$33,H18)))*($B$2:$B$33=$B18))&gt;0,1,0))</f>
        <v>0</v>
      </c>
      <c r="AB18" s="1" cm="1">
        <f t="array" ref="AB18">IF(I18="",0,IF(SUMPRODUCT((ISNUMBER(SEARCH(I18,$C$2:$C$33))+ISNUMBER(SEARCH($C$2:$C$33,I18)))*($B$2:$B$33=$B18))&gt;0,1,0))</f>
        <v>0</v>
      </c>
      <c r="AC18" s="36" t="s">
        <v>57</v>
      </c>
      <c r="AD18" s="36" t="s">
        <v>72</v>
      </c>
      <c r="AE18" s="36" t="s">
        <v>72</v>
      </c>
      <c r="AF18">
        <f t="shared" si="6"/>
        <v>0</v>
      </c>
      <c r="AG18" cm="1">
        <f t="array" ref="AG18">IF(AC18="",0,IF(SUMPRODUCT((ISNUMBER(SEARCH(AC18,$C$2:$C$33))+ISNUMBER(SEARCH($C$2:$C$33,AC18))))&gt;0,1,0))</f>
        <v>1</v>
      </c>
      <c r="AH18" cm="1">
        <f t="array" ref="AH18">IF(AC18="",0,IF(SUMPRODUCT((ISNUMBER(SEARCH(AC18,$C$2:$C$33))+ISNUMBER(SEARCH($C$2:$C$33,AC18)))*($B$2:$B$33=$B18))&gt;0,1,0))</f>
        <v>0</v>
      </c>
      <c r="AI18">
        <f t="shared" si="7"/>
        <v>0</v>
      </c>
      <c r="AJ18" cm="1">
        <f t="array" ref="AJ18">IF(AD18="",0,IF(SUMPRODUCT((ISNUMBER(SEARCH(AD18,$C$2:$C$33))+ISNUMBER(SEARCH($C$2:$C$33,AD18))))&gt;0,1,0))</f>
        <v>1</v>
      </c>
      <c r="AK18" cm="1">
        <f t="array" ref="AK18">IF(AD18="",0,IF(SUMPRODUCT((ISNUMBER(SEARCH(AD18,$C$2:$C$33))+ISNUMBER(SEARCH($C$2:$C$33,AD18)))*($B$2:$B$33=$B18))&gt;0,1,0))</f>
        <v>0</v>
      </c>
      <c r="AL18">
        <f t="shared" si="8"/>
        <v>0</v>
      </c>
      <c r="AM18" cm="1">
        <f t="array" ref="AM18">IF(AE18="",0,IF(SUMPRODUCT((ISNUMBER(SEARCH(AE18,$C$2:$C$33))+ISNUMBER(SEARCH($C$2:$C$33,AE18))))&gt;0,1,0))</f>
        <v>1</v>
      </c>
      <c r="AN18" cm="1">
        <f t="array" ref="AN18">IF(AE18="",0,IF(SUMPRODUCT((ISNUMBER(SEARCH(AE18,$C$2:$C$33))+ISNUMBER(SEARCH($C$2:$C$33,AE18)))*($B$2:$B$33=$B18))&gt;0,1,0))</f>
        <v>0</v>
      </c>
      <c r="AO18" s="17" t="str" cm="1">
        <f t="array" ref="AO18">_xlfn.LET(_xlpm.raw,'Other analyst '!K18,_xlpm.mockNames,'Colin''s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Blake Miller</v>
      </c>
      <c r="AP18">
        <f>IF(OR(AO18="",AO18=0),0,IF(OR(ISNUMBER(SEARCH(AO18,$C18)),ISNUMBER(SEARCH($C18,AO18))),1,0))</f>
        <v>1</v>
      </c>
      <c r="AQ18" cm="1">
        <f t="array" ref="AQ18">IF(OR(AO18="",AO18=0),0,IF(SUMPRODUCT(--(ISNUMBER(SEARCH(AO18,$C$2:$C$33))+ISNUMBER(SEARCH($C$2:$C$33,AO18))))&gt;0,1,0))</f>
        <v>1</v>
      </c>
      <c r="AR18" cm="1">
        <f t="array" ref="AR18">IF(OR(AO18="",AO18=0),0,IF(SUMPRODUCT((ISNUMBER(SEARCH(AO18,$C$2:$C$33))+ISNUMBER(SEARCH($C$2:$C$33,AO18)))*($B$2:$B$33=$B18))&gt;0,1,0))</f>
        <v>1</v>
      </c>
      <c r="AS18" s="64" t="str" cm="1">
        <f t="array" ref="AS18">_xlfn.LET(_xlpm.raw,'Other analyst '!L18,_xlpm.mockNames,'Colin''s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Max Iheanachor</v>
      </c>
      <c r="AT18">
        <f>IF(OR(AS18="",AS18=0),0,IF(OR(ISNUMBER(SEARCH(AS18,$C18)),ISNUMBER(SEARCH($C18,AS18))),1,0))</f>
        <v>0</v>
      </c>
      <c r="AU18" cm="1">
        <f t="array" ref="AU18">IF(OR(AS18="",AS18=0),0,IF(SUMPRODUCT(--(ISNUMBER(SEARCH(AS18,$C$2:$C$33))+ISNUMBER(SEARCH($C$2:$C$33,AS18))))&gt;0,1,0))</f>
        <v>1</v>
      </c>
      <c r="AV18" cm="1">
        <f t="array" ref="AV18">IF(OR(AS18="",AS18=0),0,IF(SUMPRODUCT((ISNUMBER(SEARCH(AS18,$C$2:$C$33))+ISNUMBER(SEARCH($C$2:$C$33,AS18)))*($B$2:$B$33=$B18))&gt;0,1,0))</f>
        <v>0</v>
      </c>
      <c r="AW18" s="64" t="str" cm="1">
        <f t="array" ref="AW18">_xlfn.LET(_xlpm.raw,'Other analyst '!M18,_xlpm.mockNames,'Colin''s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Monroe Freeling</v>
      </c>
      <c r="AX18">
        <f>IF(OR(AW18="",AW18=0),0,IF(OR(ISNUMBER(SEARCH(AW18,$C18)),ISNUMBER(SEARCH($C18,AW18))),1,0))</f>
        <v>0</v>
      </c>
      <c r="AY18" cm="1">
        <f t="array" ref="AY18">IF(OR(AW18="",AW18=0),0,IF(SUMPRODUCT(--(ISNUMBER(SEARCH(AW18,$C$2:$C$33))+ISNUMBER(SEARCH($C$2:$C$33,AW18))))&gt;0,1,0))</f>
        <v>1</v>
      </c>
      <c r="AZ18" cm="1">
        <f t="array" ref="AZ18">IF(OR(AW18="",AW18=0),0,IF(SUMPRODUCT((ISNUMBER(SEARCH(AW18,$C$2:$C$33))+ISNUMBER(SEARCH($C$2:$C$33,AW18)))*($B$2:$B$33=$B18))&gt;0,1,0))</f>
        <v>0</v>
      </c>
      <c r="BA18" s="64" t="str" cm="1">
        <f t="array" ref="BA18">_xlfn.LET(_xlpm.raw,'Other analyst '!N18,_xlpm.mockNames,'Colin''s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Kadyn Proctor</v>
      </c>
      <c r="BB18">
        <f>IF(OR(BA18="",BA18=0),0,IF(OR(ISNUMBER(SEARCH(BA18,$C18)),ISNUMBER(SEARCH($C18,BA18))),1,0))</f>
        <v>0</v>
      </c>
      <c r="BC18" cm="1">
        <f t="array" ref="BC18">IF(OR(BA18="",BA18=0),0,IF(SUMPRODUCT(--(ISNUMBER(SEARCH(BA18,$C$2:$C$33))+ISNUMBER(SEARCH($C$2:$C$33,BA18))))&gt;0,1,0))</f>
        <v>1</v>
      </c>
      <c r="BD18" cm="1">
        <f t="array" ref="BD18">IF(OR(BA18="",BA18=0),0,IF(SUMPRODUCT((ISNUMBER(SEARCH(BA18,$C$2:$C$33))+ISNUMBER(SEARCH($C$2:$C$33,BA18)))*($B$2:$B$33=$B18))&gt;0,1,0))</f>
        <v>0</v>
      </c>
      <c r="BE18" s="64" t="str" cm="1">
        <f t="array" ref="BE18">_xlfn.LET(_xlpm.raw,'Other analyst '!O18,_xlpm.mockNames,'Colin''s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Monroe Freeling</v>
      </c>
      <c r="BF18">
        <f>IF(OR(BE18="",BE18=0),0,IF(OR(ISNUMBER(SEARCH(BE18,$C18)),ISNUMBER(SEARCH($C18,BE18))),1,0))</f>
        <v>0</v>
      </c>
      <c r="BG18" cm="1">
        <f t="array" ref="BG18">IF(OR(BE18="",BE18=0),0,IF(SUMPRODUCT(--(ISNUMBER(SEARCH(BE18,$C$2:$C$33))+ISNUMBER(SEARCH($C$2:$C$33,BE18))))&gt;0,1,0))</f>
        <v>1</v>
      </c>
      <c r="BH18" cm="1">
        <f t="array" ref="BH18">IF(OR(BE18="",BE18=0),0,IF(SUMPRODUCT((ISNUMBER(SEARCH(BE18,$C$2:$C$33))+ISNUMBER(SEARCH($C$2:$C$33,BE18)))*($B$2:$B$33=$B18))&gt;0,1,0))</f>
        <v>0</v>
      </c>
      <c r="BI18" s="64" t="str" cm="1">
        <f t="array" ref="BI18">_xlfn.LET(_xlpm.raw,'Other analyst '!P18,_xlpm.mockNames,'Colin''s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Monroe Freeling</v>
      </c>
      <c r="BJ18">
        <f>IF(OR(BI18="",BI18=0),0,IF(OR(ISNUMBER(SEARCH(BI18,$C18)),ISNUMBER(SEARCH($C18,BI18))),1,0))</f>
        <v>0</v>
      </c>
      <c r="BK18" cm="1">
        <f t="array" ref="BK18">IF(OR(BI18="",BI18=0),0,IF(SUMPRODUCT(--(ISNUMBER(SEARCH(BI18,$C$2:$C$33))+ISNUMBER(SEARCH($C$2:$C$33,BI18))))&gt;0,1,0))</f>
        <v>1</v>
      </c>
      <c r="BL18" cm="1">
        <f t="array" ref="BL18">IF(OR(BI18="",BI18=0),0,IF(SUMPRODUCT((ISNUMBER(SEARCH(BI18,$C$2:$C$33))+ISNUMBER(SEARCH($C$2:$C$33,BI18)))*($B$2:$B$33=$B18))&gt;0,1,0))</f>
        <v>0</v>
      </c>
      <c r="BM18" s="64" t="str" cm="1">
        <f t="array" ref="BM18">_xlfn.LET(_xlpm.raw,'Other analyst '!Q18,_xlpm.mockNames,'Colin''s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Francis Mauigoa</v>
      </c>
      <c r="BN18">
        <f>IF(OR(BM18="",BM18=0),0,IF(OR(ISNUMBER(SEARCH(BM18,$C18)),ISNUMBER(SEARCH($C18,BM18))),1,0))</f>
        <v>0</v>
      </c>
      <c r="BO18" cm="1">
        <f t="array" ref="BO18">IF(OR(BM18="",BM18=0),0,IF(SUMPRODUCT(--(ISNUMBER(SEARCH(BM18,$C$2:$C$33))+ISNUMBER(SEARCH($C$2:$C$33,BM18))))&gt;0,1,0))</f>
        <v>1</v>
      </c>
      <c r="BP18" cm="1">
        <f t="array" ref="BP18">IF(OR(BM18="",BM18=0),0,IF(SUMPRODUCT((ISNUMBER(SEARCH(BM18,$C$2:$C$33))+ISNUMBER(SEARCH($C$2:$C$33,BM18)))*($B$2:$B$33=$B18))&gt;0,1,0))</f>
        <v>0</v>
      </c>
      <c r="BQ18" s="17" t="str" cm="1">
        <f t="array" ref="BQ18">_xlfn.LET(_xlpm.raw,'Other analyst '!R18,_xlpm.mockNames,'Colin''s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Blake Miller</v>
      </c>
      <c r="BR18">
        <f>IF(OR(BQ18="",BQ18=0),0,IF(OR(ISNUMBER(SEARCH(BQ18,$C18)),ISNUMBER(SEARCH($C18,BQ18))),1,0))</f>
        <v>1</v>
      </c>
      <c r="BS18" cm="1">
        <f t="array" ref="BS18">IF(OR(BQ18="",BQ18=0),0,IF(SUMPRODUCT(--(ISNUMBER(SEARCH(BQ18,$C$2:$C$33))+ISNUMBER(SEARCH($C$2:$C$33,BQ18))))&gt;0,1,0))</f>
        <v>1</v>
      </c>
      <c r="BT18" cm="1">
        <f t="array" ref="BT18">IF(OR(BQ18="",BQ18=0),0,IF(SUMPRODUCT((ISNUMBER(SEARCH(BQ18,$C$2:$C$33))+ISNUMBER(SEARCH($C$2:$C$33,BQ18)))*($B$2:$B$33=$B18))&gt;0,1,0))</f>
        <v>1</v>
      </c>
      <c r="BU18" s="76" t="str">
        <f>'Colin Mock wTrade'!D18</f>
        <v>Dillon Thieneman</v>
      </c>
      <c r="BV18">
        <f>IF(BU18="",0,IF(OR(ISNUMBER(SEARCH(BU18,C18)),ISNUMBER(SEARCH(C18,BU18))),1,0))</f>
        <v>0</v>
      </c>
      <c r="BW18" cm="1">
        <f t="array" ref="BW18">IF(BU18="",0,IF(SUMPRODUCT(--(ISNUMBER(SEARCH(BU18,$C$2:$C$33))+ISNUMBER(SEARCH($C$2:$C$33,BU18))))&gt;0,1,0))</f>
        <v>1</v>
      </c>
      <c r="BX18" cm="1">
        <f t="array" ref="BX18">IF(BU18="",0,IFERROR(IF(SUMPRODUCT((ISNUMBER(SEARCH(BU18,$C$2:$C$33))+ISNUMBER(SEARCH($C$2:$C$33,BU18)))*($B$2:$B$33=VLOOKUP('Colin Mock wTrade'!C18,$CA$1:$CB$32,2,FALSE)))&gt;0,1,0),0))</f>
        <v>0</v>
      </c>
      <c r="CA18" t="s">
        <v>73</v>
      </c>
      <c r="CB18" t="s">
        <v>420</v>
      </c>
      <c r="CC18" t="str">
        <f>'Other analyst '!S18</f>
        <v>Monroe Freeling</v>
      </c>
      <c r="CD18">
        <f t="shared" si="9"/>
        <v>0</v>
      </c>
      <c r="CE18" cm="1">
        <f t="array" ref="CE18">IF(CC18="",0,IF(SUMPRODUCT(--(ISNUMBER(SEARCH(CC18,$C$2:$C$33))+ISNUMBER(SEARCH($C$2:$C$33,CC18))))&gt;0,1,0))</f>
        <v>1</v>
      </c>
      <c r="CF18" cm="1">
        <f t="array" ref="CF18">IF(CC18="",0,IF(SUMPRODUCT((ISNUMBER(SEARCH(CC18,$C$2:$C$33))+ISNUMBER(SEARCH($C$2:$C$33,CC18)))*($B$2:$B$33=$B18))&gt;0,1,0))</f>
        <v>0</v>
      </c>
      <c r="CG18" t="str">
        <f>'Other analyst '!T18</f>
        <v>Monroe Freeling</v>
      </c>
      <c r="CH18">
        <f t="shared" si="10"/>
        <v>0</v>
      </c>
      <c r="CI18" cm="1">
        <f t="array" ref="CI18">IF(CG18="",0,IF(SUMPRODUCT(--(ISNUMBER(SEARCH(CG18,$C$2:$C$33))+ISNUMBER(SEARCH($C$2:$C$33,CG18))))&gt;0,1,0))</f>
        <v>1</v>
      </c>
      <c r="CJ18" cm="1">
        <f t="array" ref="CJ18">IF(CG18="",0,IF(SUMPRODUCT((ISNUMBER(SEARCH(CG18,$C$2:$C$33))+ISNUMBER(SEARCH($C$2:$C$33,CG18)))*($B$2:$B$33=$B18))&gt;0,1,0))</f>
        <v>0</v>
      </c>
      <c r="CK18" t="str">
        <f>'Other analyst '!U18</f>
        <v>Kenyon Sadiq</v>
      </c>
      <c r="CL18">
        <f t="shared" si="11"/>
        <v>0</v>
      </c>
      <c r="CM18" cm="1">
        <f t="array" ref="CM18">IF(CK18="",0,IF(SUMPRODUCT(--(ISNUMBER(SEARCH(CK18,$C$2:$C$33))+ISNUMBER(SEARCH($C$2:$C$33,CK18))))&gt;0,1,0))</f>
        <v>1</v>
      </c>
      <c r="CN18" cm="1">
        <f t="array" ref="CN18">IF(CK18="",0,IF(SUMPRODUCT((ISNUMBER(SEARCH(CK18,$C$2:$C$33))+ISNUMBER(SEARCH($C$2:$C$33,CK18)))*($B$2:$B$33=$B18))&gt;0,1,0))</f>
        <v>0</v>
      </c>
      <c r="CO18" t="str">
        <f>'Other analyst '!V18</f>
        <v>Trevor Goosby</v>
      </c>
      <c r="CP18">
        <f t="shared" si="12"/>
        <v>0</v>
      </c>
      <c r="CQ18" cm="1">
        <f t="array" ref="CQ18">IF(CO18="",0,IF(SUMPRODUCT(--(ISNUMBER(SEARCH(CO18,$C$2:$C$33))+ISNUMBER(SEARCH($C$2:$C$33,CO18))))&gt;0,1,0))</f>
        <v>0</v>
      </c>
      <c r="CR18" cm="1">
        <f t="array" ref="CR18">IF(CO18="",0,IF(SUMPRODUCT((ISNUMBER(SEARCH(CO18,$C$2:$C$33))+ISNUMBER(SEARCH($C$2:$C$33,CO18)))*($B$2:$B$33=$B18))&gt;0,1,0))</f>
        <v>0</v>
      </c>
      <c r="CS18" s="36" t="str">
        <f>'Other analyst '!W18</f>
        <v>Kadyn Proctor</v>
      </c>
      <c r="CT18">
        <f t="shared" si="13"/>
        <v>0</v>
      </c>
      <c r="CU18" cm="1">
        <f t="array" ref="CU18">IF(CS18="",0,IF(SUMPRODUCT(--(ISNUMBER(SEARCH(CS18,$C$2:$C$33))+ISNUMBER(SEARCH($C$2:$C$33,CS18))))&gt;0,1,0))</f>
        <v>1</v>
      </c>
      <c r="CV18" cm="1">
        <f t="array" ref="CV18">IF(CS18="",0,IFERROR(IF(SUMPRODUCT((ISNUMBER(SEARCH(CS18,$C$2:$C$33))+ISNUMBER(SEARCH($C$2:$C$33,CS18)))*(ISNUMBER(SEARCH($B$2:$B$33,'Other analyst '!B18))+ISNUMBER(SEARCH('Other analyst '!B18,$B$2:$B$33))))&gt;0,1,0),0))</f>
        <v>0</v>
      </c>
      <c r="CW18" s="36" t="str">
        <f>'Other analyst '!AD18</f>
        <v>Monroe Freeling</v>
      </c>
      <c r="CX18">
        <f t="shared" si="14"/>
        <v>0</v>
      </c>
      <c r="CY18" cm="1">
        <f t="array" ref="CY18">IF(CW18="",0,IF(SUMPRODUCT(--(ISNUMBER(SEARCH(CW18,$C$2:$C$33))+ISNUMBER(SEARCH($C$2:$C$33,CW18))))&gt;0,1,0))</f>
        <v>1</v>
      </c>
      <c r="CZ18" cm="1">
        <f t="array" ref="CZ18">IF(CW18="",0,IF(SUMPRODUCT((ISNUMBER(SEARCH(CW18,$C$2:$C$33))+ISNUMBER(SEARCH($C$2:$C$33,CW18)))*($B$2:$B$33=$B18))&gt;0,1,0))</f>
        <v>0</v>
      </c>
      <c r="DA18" s="36" t="str">
        <f>'Other analyst '!AE18</f>
        <v>Kadyn Proctor</v>
      </c>
      <c r="DB18">
        <f t="shared" si="15"/>
        <v>0</v>
      </c>
      <c r="DC18" cm="1">
        <f t="array" ref="DC18">IF(DA18="",0,IF(SUMPRODUCT(--(ISNUMBER(SEARCH(DA18,$C$2:$C$33))+ISNUMBER(SEARCH($C$2:$C$33,DA18))))&gt;0,1,0))</f>
        <v>1</v>
      </c>
      <c r="DD18" cm="1">
        <f t="array" ref="DD18">IF(DA18="",0,IF(SUMPRODUCT((ISNUMBER(SEARCH(DA18,$C$2:$C$33))+ISNUMBER(SEARCH($C$2:$C$33,DA18)))*($B$2:$B$33=$B18))&gt;0,1,0))</f>
        <v>0</v>
      </c>
      <c r="DE18" s="36" t="str">
        <f>'Other analyst '!AF18</f>
        <v>Kadyn Proctor</v>
      </c>
      <c r="DF18">
        <f t="shared" si="16"/>
        <v>0</v>
      </c>
      <c r="DG18" cm="1">
        <f t="array" ref="DG18">IF(DE18="",0,IF(SUMPRODUCT(--(ISNUMBER(SEARCH(DE18,$C$2:$C$33))+ISNUMBER(SEARCH($C$2:$C$33,DE18))))&gt;0,1,0))</f>
        <v>1</v>
      </c>
      <c r="DH18" cm="1">
        <f t="array" ref="DH18">IF(DE18="",0,IF(SUMPRODUCT((ISNUMBER(SEARCH(DE18,$C$2:$C$33))+ISNUMBER(SEARCH($C$2:$C$33,DE18)))*($B$2:$B$33=$B18))&gt;0,1,0))</f>
        <v>0</v>
      </c>
      <c r="DI18" s="36" t="str">
        <f>'Other analyst '!AG18</f>
        <v>Kadyn Proctor</v>
      </c>
      <c r="DJ18">
        <f t="shared" si="17"/>
        <v>0</v>
      </c>
      <c r="DK18" cm="1">
        <f t="array" ref="DK18">IF(DI18="",0,IF(SUMPRODUCT(--(ISNUMBER(SEARCH(DI18,$C$2:$C$33))+ISNUMBER(SEARCH($C$2:$C$33,DI18))))&gt;0,1,0))</f>
        <v>1</v>
      </c>
      <c r="DL18" cm="1">
        <f t="array" ref="DL18">IF(DI18="",0,IF(SUMPRODUCT((ISNUMBER(SEARCH(DI18,$C$2:$C$33))+ISNUMBER(SEARCH($C$2:$C$33,DI18)))*($B$2:$B$33=$B18))&gt;0,1,0))</f>
        <v>0</v>
      </c>
      <c r="DM18" s="36" t="str">
        <f>'Other analyst '!AB18</f>
        <v>Monroe Freeling</v>
      </c>
      <c r="DN18">
        <f t="shared" si="18"/>
        <v>0</v>
      </c>
      <c r="DO18" cm="1">
        <f t="array" ref="DO18">IF(DM18="",0,IF(SUMPRODUCT(--(ISNUMBER(SEARCH(DM18,$C$2:$C$33))+ISNUMBER(SEARCH($C$2:$C$33,DM18))))&gt;0,1,0))</f>
        <v>1</v>
      </c>
      <c r="DP18" cm="1">
        <f t="array" ref="DP18">IF(DM18="",0,IFERROR(IF(SUMPRODUCT((ISNUMBER(SEARCH(DM18,$C$2:$C$33))+ISNUMBER(SEARCH($C$2:$C$33,DM18)))*(ISNUMBER(SEARCH($B$2:$B$33,'Other analyst '!B18))+ISNUMBER(SEARCH('Other analyst '!B18,$B$2:$B$33))))&gt;0,1,0),0))</f>
        <v>0</v>
      </c>
      <c r="DQ18" s="36" t="str">
        <f>'Other analyst '!AC18</f>
        <v>Francis Mauigoa</v>
      </c>
      <c r="DR18">
        <f t="shared" si="19"/>
        <v>0</v>
      </c>
      <c r="DS18" cm="1">
        <f t="array" ref="DS18">IF(DQ18="",0,IF(SUMPRODUCT(--(ISNUMBER(SEARCH(DQ18,$C$2:$C$33))+ISNUMBER(SEARCH($C$2:$C$33,DQ18))))&gt;0,1,0))</f>
        <v>1</v>
      </c>
      <c r="DT18" cm="1">
        <f t="array" ref="DT18">IF(DQ18="",0,IFERROR(IF(SUMPRODUCT((ISNUMBER(SEARCH(DQ18,$C$2:$C$33))+ISNUMBER(SEARCH($C$2:$C$33,DQ18)))*(ISNUMBER(SEARCH($B$2:$B$33,'Other analyst '!B18))+ISNUMBER(SEARCH('Other analyst '!B18,$B$2:$B$33))))&gt;0,1,0),0))</f>
        <v>0</v>
      </c>
      <c r="DU18" t="str">
        <f>IFERROR(TRIM(LEFT(IF(ISNUMBER(SEARCH("]",'Other analyst '!X18)),MID('Other analyst '!X18,SEARCH("]",'Other analyst '!X18)+1,200),'Other analyst '!X18),IFERROR(SEARCH(" (",IF(ISNUMBER(SEARCH("]",'Other analyst '!X18)),MID('Other analyst '!X18,SEARCH("]",'Other analyst '!X18)+1,200),'Other analyst '!X18))-1,LEN('Other analyst '!X18)))),"")</f>
        <v>Monroe Freeling</v>
      </c>
      <c r="DV18">
        <f>IF(DU18="",0,IF(OR(ISNUMBER(SEARCH(DU18,C18)),ISNUMBER(SEARCH(C18,DU18))),1,0))</f>
        <v>0</v>
      </c>
      <c r="DW18" cm="1">
        <f t="array" ref="DW18">IF(DU18="",0,IF(SUMPRODUCT((ISNUMBER(SEARCH(DU18,$C$2:$C$33))+ISNUMBER(SEARCH($C$2:$C$33,DU18))))&gt;0,1,0))</f>
        <v>1</v>
      </c>
      <c r="DX18">
        <v>0</v>
      </c>
      <c r="DY18" t="str">
        <f>IFERROR(TRIM(LEFT(IF(ISNUMBER(SEARCH("]",'Other analyst '!Y18)),MID('Other analyst '!Y18,SEARCH("]",'Other analyst '!Y18)+1,200),'Other analyst '!Y18),IFERROR(SEARCH(" (",IF(ISNUMBER(SEARCH("]",'Other analyst '!Y18)),MID('Other analyst '!Y18,SEARCH("]",'Other analyst '!Y18)+1,200),'Other analyst '!Y18))-1,LEN('Other analyst '!Y18)))),"")</f>
        <v>Keldric Faulk</v>
      </c>
      <c r="DZ18">
        <f>IF(DY18="",0,IF(OR(ISNUMBER(SEARCH(DY18,C18)),ISNUMBER(SEARCH(C18,DY18))),1,0))</f>
        <v>0</v>
      </c>
      <c r="EA18" cm="1">
        <f t="array" ref="EA18">IF(DY18="",0,IF(SUMPRODUCT((ISNUMBER(SEARCH(DY18,$C$2:$C$33))+ISNUMBER(SEARCH($C$2:$C$33,DY18))))&gt;0,1,0))</f>
        <v>1</v>
      </c>
      <c r="EB18">
        <v>0</v>
      </c>
      <c r="EC18" t="str">
        <f>IFERROR(TRIM(LEFT(IF(ISNUMBER(SEARCH("]",'Other analyst '!Z18)),MID('Other analyst '!Z18,SEARCH("]",'Other analyst '!Z18)+1,200),'Other analyst '!Z18),IFERROR(SEARCH(" (",IF(ISNUMBER(SEARCH("]",'Other analyst '!Z18)),MID('Other analyst '!Z18,SEARCH("]",'Other analyst '!Z18)+1,200),'Other analyst '!Z18))-1,LEN('Other analyst '!Z18)))),"")</f>
        <v>Makai Lemon</v>
      </c>
      <c r="ED18">
        <f>IF(EC18="",0,IF(OR(ISNUMBER(SEARCH(EC18,C18)),ISNUMBER(SEARCH(C18,EC18))),1,0))</f>
        <v>0</v>
      </c>
      <c r="EE18" cm="1">
        <f t="array" ref="EE18">IF(EC18="",0,IF(SUMPRODUCT((ISNUMBER(SEARCH(EC18,$C$2:$C$33))+ISNUMBER(SEARCH($C$2:$C$33,EC18))))&gt;0,1,0))</f>
        <v>1</v>
      </c>
      <c r="EF18">
        <v>0</v>
      </c>
      <c r="EG18" t="str">
        <f>IFERROR(TRIM(LEFT(IF(ISNUMBER(SEARCH("]",'Other analyst '!AA18)),MID('Other analyst '!AA18,SEARCH("]",'Other analyst '!AA18)+1,200),'Other analyst '!AA18),IFERROR(SEARCH(" (",IF(ISNUMBER(SEARCH("]",'Other analyst '!AA18)),MID('Other analyst '!AA18,SEARCH("]",'Other analyst '!AA18)+1,200),'Other analyst '!AA18))-1,LEN('Other analyst '!AA18)))),"")</f>
        <v>Keldric Faulk</v>
      </c>
      <c r="EH18">
        <f>IF(EG18="",0,IF(OR(ISNUMBER(SEARCH(EG18,C18)),ISNUMBER(SEARCH(C18,EG18))),1,0))</f>
        <v>0</v>
      </c>
      <c r="EI18" cm="1">
        <f t="array" ref="EI18">IF(EG18="",0,IF(SUMPRODUCT((ISNUMBER(SEARCH(EG18,$C$2:$C$33))+ISNUMBER(SEARCH($C$2:$C$33,EG18))))&gt;0,1,0))</f>
        <v>1</v>
      </c>
      <c r="EJ18">
        <v>0</v>
      </c>
      <c r="EK18">
        <f>K18+L18+M18+N18+O18+P18+AF18+AI18+AL18+AP18+AT18+AX18+BB18+BF18+BJ18+BN18+BR18+BV18+CD18+CH18+CL18+CP18+CT18+DV18+DZ18+ED18+EH18+DN18+DR18+CX18+DB18+DF18+DJ18</f>
        <v>2</v>
      </c>
    </row>
    <row r="19" spans="1:141">
      <c r="A19" s="30">
        <v>18</v>
      </c>
      <c r="B19" s="30" t="str">
        <f>'Actual nfl first round'!C19</f>
        <v>Vikings</v>
      </c>
      <c r="C19" s="31" t="str" cm="1">
        <f t="array" ref="C19">_xlfn.LET(_xlpm.actual, 'Actual nfl first round'!D19,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Caleb Banks</v>
      </c>
      <c r="D19" s="32" t="str">
        <f>'Colin''s Mock'!D19</f>
        <v>Jermod McCoy</v>
      </c>
      <c r="E19" s="32" t="str">
        <f>_xlfn.LET(_xlpm.raw, 'Other analyst '!C19, _xlpm.s, IF(LEFT(_xlpm.raw,1)="[", MID(_xlpm.raw, FIND("] ",_xlpm.raw)+2, 999), _xlpm.raw), IFERROR(TRIM(LEFT(_xlpm.s, FIND(" (",_xlpm.s)-1)), _xlpm.raw))</f>
        <v>Dillon Thieneman</v>
      </c>
      <c r="F19" s="32" t="str">
        <f>_xlfn.LET(_xlpm.raw, 'Other analyst '!D19, _xlpm.s, IF(LEFT(_xlpm.raw,1)="[", MID(_xlpm.raw, FIND("] ",_xlpm.raw)+2, 999), _xlpm.raw), IFERROR(TRIM(LEFT(_xlpm.s, FIND(" (",_xlpm.s)-1)), _xlpm.raw))</f>
        <v>Dillon Thieneman</v>
      </c>
      <c r="G19" s="32" t="str">
        <f>_xlfn.LET(_xlpm.raw, 'Other analyst '!E19, _xlpm.s, IF(LEFT(_xlpm.raw,1)="[", MID(_xlpm.raw, FIND("] ",_xlpm.raw)+2, 999), _xlpm.raw), IFERROR(TRIM(LEFT(_xlpm.s, FIND(" (",_xlpm.s)-1)), _xlpm.raw))</f>
        <v>Dillon Thieneman</v>
      </c>
      <c r="H19" s="32" t="str">
        <f>_xlfn.LET(_xlpm.raw, 'Other analyst '!F19, _xlpm.s, IF(LEFT(_xlpm.raw,1)="[", MID(_xlpm.raw, FIND("] ",_xlpm.raw)+2, 999), _xlpm.raw), IFERROR(TRIM(LEFT(_xlpm.s, FIND(" (",_xlpm.s)-1)), _xlpm.raw))</f>
        <v>Dillon Thieneman</v>
      </c>
      <c r="I19" s="32" t="str">
        <f>_xlfn.LET(_xlpm.raw, 'Other analyst '!G19, _xlpm.s, IF(LEFT(_xlpm.raw,1)="[", MID(_xlpm.raw, FIND("] ",_xlpm.raw)+2, 999), _xlpm.raw), IFERROR(TRIM(LEFT(_xlpm.s, FIND(" (",_xlpm.s)-1)), _xlpm.raw))</f>
        <v>Kenyon Sadiq</v>
      </c>
      <c r="K19" s="1">
        <f t="shared" si="0"/>
        <v>0</v>
      </c>
      <c r="L19" s="1">
        <f t="shared" si="1"/>
        <v>0</v>
      </c>
      <c r="M19" s="1">
        <f t="shared" si="2"/>
        <v>0</v>
      </c>
      <c r="N19" s="1">
        <f t="shared" si="3"/>
        <v>0</v>
      </c>
      <c r="O19" s="1">
        <f t="shared" si="4"/>
        <v>0</v>
      </c>
      <c r="P19" s="1">
        <f t="shared" si="5"/>
        <v>0</v>
      </c>
      <c r="Q19" s="1" cm="1">
        <f t="array" ref="Q19">IF(D19="", 0, IF(SUMPRODUCT(--(ISNUMBER(SEARCH(D19, $C$2:$C$33)) + ISNUMBER(SEARCH($C$2:$C$33, D19))))&gt;0, 1, 0))</f>
        <v>0</v>
      </c>
      <c r="R19" s="1" cm="1">
        <f t="array" ref="R19">IF(E19="", 0, IF(SUMPRODUCT(--(ISNUMBER(SEARCH(E19, $C$2:$C$33)) + ISNUMBER(SEARCH($C$2:$C$33, E19))))&gt;0, 1, 0))</f>
        <v>1</v>
      </c>
      <c r="S19" s="1" cm="1">
        <f t="array" ref="S19">IF(F19="", 0, IF(SUMPRODUCT(--(ISNUMBER(SEARCH(F19, $C$2:$C$33)) + ISNUMBER(SEARCH($C$2:$C$33, F19))))&gt;0, 1, 0))</f>
        <v>1</v>
      </c>
      <c r="T19" s="1" cm="1">
        <f t="array" ref="T19">IF(G19="", 0, IF(SUMPRODUCT(--(ISNUMBER(SEARCH(G19, $C$2:$C$33)) + ISNUMBER(SEARCH($C$2:$C$33, G19))))&gt;0, 1, 0))</f>
        <v>1</v>
      </c>
      <c r="U19" s="1" cm="1">
        <f t="array" ref="U19">IF(H19="", 0, IF(SUMPRODUCT(--(ISNUMBER(SEARCH(H19, $C$2:$C$33)) + ISNUMBER(SEARCH($C$2:$C$33, H19))))&gt;0, 1, 0))</f>
        <v>1</v>
      </c>
      <c r="V19" s="1" cm="1">
        <f t="array" ref="V19">IF(I19="", 0, IF(SUMPRODUCT(--(ISNUMBER(SEARCH(I19, $C$2:$C$33)) + ISNUMBER(SEARCH($C$2:$C$33, I19))))&gt;0, 1, 0))</f>
        <v>1</v>
      </c>
      <c r="W19" s="1" cm="1">
        <f t="array" ref="W19">IF(D19="",0,IF(SUMPRODUCT((ISNUMBER(SEARCH(D19,$C$2:$C$33))+ISNUMBER(SEARCH($C$2:$C$33,D19)))*($B$2:$B$33=$B19))&gt;0,1,0))</f>
        <v>0</v>
      </c>
      <c r="X19" s="1" cm="1">
        <f t="array" ref="X19">IF(E19="",0,IF(SUMPRODUCT((ISNUMBER(SEARCH(E19,$C$2:$C$33))+ISNUMBER(SEARCH($C$2:$C$33,E19)))*($B$2:$B$33=$B19))&gt;0,1,0))</f>
        <v>0</v>
      </c>
      <c r="Y19" s="1" cm="1">
        <f t="array" ref="Y19">IF(F19="",0,IF(SUMPRODUCT((ISNUMBER(SEARCH(F19,$C$2:$C$33))+ISNUMBER(SEARCH($C$2:$C$33,F19)))*($B$2:$B$33=$B19))&gt;0,1,0))</f>
        <v>0</v>
      </c>
      <c r="Z19" s="1" cm="1">
        <f t="array" ref="Z19">IF(G19="",0,IF(SUMPRODUCT((ISNUMBER(SEARCH(G19,$C$2:$C$33))+ISNUMBER(SEARCH($C$2:$C$33,G19)))*($B$2:$B$33=$B19))&gt;0,1,0))</f>
        <v>0</v>
      </c>
      <c r="AA19" s="1" cm="1">
        <f t="array" ref="AA19">IF(H19="",0,IF(SUMPRODUCT((ISNUMBER(SEARCH(H19,$C$2:$C$33))+ISNUMBER(SEARCH($C$2:$C$33,H19)))*($B$2:$B$33=$B19))&gt;0,1,0))</f>
        <v>0</v>
      </c>
      <c r="AB19" s="1" cm="1">
        <f t="array" ref="AB19">IF(I19="",0,IF(SUMPRODUCT((ISNUMBER(SEARCH(I19,$C$2:$C$33))+ISNUMBER(SEARCH($C$2:$C$33,I19)))*($B$2:$B$33=$B19))&gt;0,1,0))</f>
        <v>0</v>
      </c>
      <c r="AC19" s="28" t="s">
        <v>86</v>
      </c>
      <c r="AD19" s="36" t="s">
        <v>60</v>
      </c>
      <c r="AE19" s="36" t="s">
        <v>60</v>
      </c>
      <c r="AF19">
        <f t="shared" si="6"/>
        <v>0</v>
      </c>
      <c r="AG19" cm="1">
        <f t="array" ref="AG19">IF(AC19="",0,IF(SUMPRODUCT((ISNUMBER(SEARCH(AC19,$C$2:$C$33))+ISNUMBER(SEARCH($C$2:$C$33,AC19))))&gt;0,1,0))</f>
        <v>0</v>
      </c>
      <c r="AH19" cm="1">
        <f t="array" ref="AH19">IF(AC19="",0,IF(SUMPRODUCT((ISNUMBER(SEARCH(AC19,$C$2:$C$33))+ISNUMBER(SEARCH($C$2:$C$33,AC19)))*($B$2:$B$33=$B19))&gt;0,1,0))</f>
        <v>0</v>
      </c>
      <c r="AI19">
        <f t="shared" si="7"/>
        <v>0</v>
      </c>
      <c r="AJ19" cm="1">
        <f t="array" ref="AJ19">IF(AD19="",0,IF(SUMPRODUCT((ISNUMBER(SEARCH(AD19,$C$2:$C$33))+ISNUMBER(SEARCH($C$2:$C$33,AD19))))&gt;0,1,0))</f>
        <v>1</v>
      </c>
      <c r="AK19" cm="1">
        <f t="array" ref="AK19">IF(AD19="",0,IF(SUMPRODUCT((ISNUMBER(SEARCH(AD19,$C$2:$C$33))+ISNUMBER(SEARCH($C$2:$C$33,AD19)))*($B$2:$B$33=$B19))&gt;0,1,0))</f>
        <v>0</v>
      </c>
      <c r="AL19">
        <f t="shared" si="8"/>
        <v>0</v>
      </c>
      <c r="AM19" cm="1">
        <f t="array" ref="AM19">IF(AE19="",0,IF(SUMPRODUCT((ISNUMBER(SEARCH(AE19,$C$2:$C$33))+ISNUMBER(SEARCH($C$2:$C$33,AE19))))&gt;0,1,0))</f>
        <v>1</v>
      </c>
      <c r="AN19" cm="1">
        <f t="array" ref="AN19">IF(AE19="",0,IF(SUMPRODUCT((ISNUMBER(SEARCH(AE19,$C$2:$C$33))+ISNUMBER(SEARCH($C$2:$C$33,AE19)))*($B$2:$B$33=$B19))&gt;0,1,0))</f>
        <v>0</v>
      </c>
      <c r="AO19" s="64" t="str" cm="1">
        <f t="array" ref="AO19">_xlfn.LET(_xlpm.raw,'Other analyst '!K19,_xlpm.mockNames,'Colin''s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Dillon Thieneman</v>
      </c>
      <c r="AP19">
        <f>IF(OR(AO19="",AO19=0),0,IF(OR(ISNUMBER(SEARCH(AO19,$C19)),ISNUMBER(SEARCH($C19,AO19))),1,0))</f>
        <v>0</v>
      </c>
      <c r="AQ19" cm="1">
        <f t="array" ref="AQ19">IF(OR(AO19="",AO19=0),0,IF(SUMPRODUCT(--(ISNUMBER(SEARCH(AO19,$C$2:$C$33))+ISNUMBER(SEARCH($C$2:$C$33,AO19))))&gt;0,1,0))</f>
        <v>1</v>
      </c>
      <c r="AR19" cm="1">
        <f t="array" ref="AR19">IF(OR(AO19="",AO19=0),0,IF(SUMPRODUCT((ISNUMBER(SEARCH(AO19,$C$2:$C$33))+ISNUMBER(SEARCH($C$2:$C$33,AO19)))*($B$2:$B$33=$B19))&gt;0,1,0))</f>
        <v>0</v>
      </c>
      <c r="AS19" s="65" t="str" cm="1">
        <f t="array" ref="AS19">_xlfn.LET(_xlpm.raw,'Other analyst '!L19,_xlpm.mockNames,'Colin''s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Kayden McDonald</v>
      </c>
      <c r="AT19">
        <f>IF(OR(AS19="",AS19=0),0,IF(OR(ISNUMBER(SEARCH(AS19,$C19)),ISNUMBER(SEARCH($C19,AS19))),1,0))</f>
        <v>0</v>
      </c>
      <c r="AU19" cm="1">
        <f t="array" ref="AU19">IF(OR(AS19="",AS19=0),0,IF(SUMPRODUCT(--(ISNUMBER(SEARCH(AS19,$C$2:$C$33))+ISNUMBER(SEARCH($C$2:$C$33,AS19))))&gt;0,1,0))</f>
        <v>0</v>
      </c>
      <c r="AV19" cm="1">
        <f t="array" ref="AV19">IF(OR(AS19="",AS19=0),0,IF(SUMPRODUCT((ISNUMBER(SEARCH(AS19,$C$2:$C$33))+ISNUMBER(SEARCH($C$2:$C$33,AS19)))*($B$2:$B$33=$B19))&gt;0,1,0))</f>
        <v>0</v>
      </c>
      <c r="AW19" s="64" t="str" cm="1">
        <f t="array" ref="AW19">_xlfn.LET(_xlpm.raw,'Other analyst '!M19,_xlpm.mockNames,'Colin''s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Dillon Thieneman</v>
      </c>
      <c r="AX19">
        <f>IF(OR(AW19="",AW19=0),0,IF(OR(ISNUMBER(SEARCH(AW19,$C19)),ISNUMBER(SEARCH($C19,AW19))),1,0))</f>
        <v>0</v>
      </c>
      <c r="AY19" cm="1">
        <f t="array" ref="AY19">IF(OR(AW19="",AW19=0),0,IF(SUMPRODUCT(--(ISNUMBER(SEARCH(AW19,$C$2:$C$33))+ISNUMBER(SEARCH($C$2:$C$33,AW19))))&gt;0,1,0))</f>
        <v>1</v>
      </c>
      <c r="AZ19" cm="1">
        <f t="array" ref="AZ19">IF(OR(AW19="",AW19=0),0,IF(SUMPRODUCT((ISNUMBER(SEARCH(AW19,$C$2:$C$33))+ISNUMBER(SEARCH($C$2:$C$33,AW19)))*($B$2:$B$33=$B19))&gt;0,1,0))</f>
        <v>0</v>
      </c>
      <c r="BA19" s="64" t="str" cm="1">
        <f t="array" ref="BA19">_xlfn.LET(_xlpm.raw,'Other analyst '!N19,_xlpm.mockNames,'Colin''s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Dillon Thieneman</v>
      </c>
      <c r="BB19">
        <f>IF(OR(BA19="",BA19=0),0,IF(OR(ISNUMBER(SEARCH(BA19,$C19)),ISNUMBER(SEARCH($C19,BA19))),1,0))</f>
        <v>0</v>
      </c>
      <c r="BC19" cm="1">
        <f t="array" ref="BC19">IF(OR(BA19="",BA19=0),0,IF(SUMPRODUCT(--(ISNUMBER(SEARCH(BA19,$C$2:$C$33))+ISNUMBER(SEARCH($C$2:$C$33,BA19))))&gt;0,1,0))</f>
        <v>1</v>
      </c>
      <c r="BD19" cm="1">
        <f t="array" ref="BD19">IF(OR(BA19="",BA19=0),0,IF(SUMPRODUCT((ISNUMBER(SEARCH(BA19,$C$2:$C$33))+ISNUMBER(SEARCH($C$2:$C$33,BA19)))*($B$2:$B$33=$B19))&gt;0,1,0))</f>
        <v>0</v>
      </c>
      <c r="BE19" s="65" t="str" cm="1">
        <f t="array" ref="BE19">_xlfn.LET(_xlpm.raw,'Other analyst '!O19,_xlpm.mockNames,'Colin''s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Jermod McCoy</v>
      </c>
      <c r="BF19">
        <f>IF(OR(BE19="",BE19=0),0,IF(OR(ISNUMBER(SEARCH(BE19,$C19)),ISNUMBER(SEARCH($C19,BE19))),1,0))</f>
        <v>0</v>
      </c>
      <c r="BG19" cm="1">
        <f t="array" ref="BG19">IF(OR(BE19="",BE19=0),0,IF(SUMPRODUCT(--(ISNUMBER(SEARCH(BE19,$C$2:$C$33))+ISNUMBER(SEARCH($C$2:$C$33,BE19))))&gt;0,1,0))</f>
        <v>0</v>
      </c>
      <c r="BH19" cm="1">
        <f t="array" ref="BH19">IF(OR(BE19="",BE19=0),0,IF(SUMPRODUCT((ISNUMBER(SEARCH(BE19,$C$2:$C$33))+ISNUMBER(SEARCH($C$2:$C$33,BE19)))*($B$2:$B$33=$B19))&gt;0,1,0))</f>
        <v>0</v>
      </c>
      <c r="BI19" s="64" t="str" cm="1">
        <f t="array" ref="BI19">_xlfn.LET(_xlpm.raw,'Other analyst '!P19,_xlpm.mockNames,'Colin''s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Dillon Thieneman</v>
      </c>
      <c r="BJ19">
        <f>IF(OR(BI19="",BI19=0),0,IF(OR(ISNUMBER(SEARCH(BI19,$C19)),ISNUMBER(SEARCH($C19,BI19))),1,0))</f>
        <v>0</v>
      </c>
      <c r="BK19" cm="1">
        <f t="array" ref="BK19">IF(OR(BI19="",BI19=0),0,IF(SUMPRODUCT(--(ISNUMBER(SEARCH(BI19,$C$2:$C$33))+ISNUMBER(SEARCH($C$2:$C$33,BI19))))&gt;0,1,0))</f>
        <v>1</v>
      </c>
      <c r="BL19" cm="1">
        <f t="array" ref="BL19">IF(OR(BI19="",BI19=0),0,IF(SUMPRODUCT((ISNUMBER(SEARCH(BI19,$C$2:$C$33))+ISNUMBER(SEARCH($C$2:$C$33,BI19)))*($B$2:$B$33=$B19))&gt;0,1,0))</f>
        <v>0</v>
      </c>
      <c r="BM19" s="64" t="str" cm="1">
        <f t="array" ref="BM19">_xlfn.LET(_xlpm.raw,'Other analyst '!Q19,_xlpm.mockNames,'Colin''s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Peter Woods</v>
      </c>
      <c r="BN19">
        <f>IF(OR(BM19="",BM19=0),0,IF(OR(ISNUMBER(SEARCH(BM19,$C19)),ISNUMBER(SEARCH($C19,BM19))),1,0))</f>
        <v>0</v>
      </c>
      <c r="BO19" cm="1">
        <f t="array" ref="BO19">IF(OR(BM19="",BM19=0),0,IF(SUMPRODUCT(--(ISNUMBER(SEARCH(BM19,$C$2:$C$33))+ISNUMBER(SEARCH($C$2:$C$33,BM19))))&gt;0,1,0))</f>
        <v>1</v>
      </c>
      <c r="BP19" cm="1">
        <f t="array" ref="BP19">IF(OR(BM19="",BM19=0),0,IF(SUMPRODUCT((ISNUMBER(SEARCH(BM19,$C$2:$C$33))+ISNUMBER(SEARCH($C$2:$C$33,BM19)))*($B$2:$B$33=$B19))&gt;0,1,0))</f>
        <v>0</v>
      </c>
      <c r="BQ19" s="64" t="str" cm="1">
        <f t="array" ref="BQ19">_xlfn.LET(_xlpm.raw,'Other analyst '!R19,_xlpm.mockNames,'Colin''s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Peter Woods</v>
      </c>
      <c r="BR19">
        <f>IF(OR(BQ19="",BQ19=0),0,IF(OR(ISNUMBER(SEARCH(BQ19,$C19)),ISNUMBER(SEARCH($C19,BQ19))),1,0))</f>
        <v>0</v>
      </c>
      <c r="BS19" cm="1">
        <f t="array" ref="BS19">IF(OR(BQ19="",BQ19=0),0,IF(SUMPRODUCT(--(ISNUMBER(SEARCH(BQ19,$C$2:$C$33))+ISNUMBER(SEARCH($C$2:$C$33,BQ19))))&gt;0,1,0))</f>
        <v>1</v>
      </c>
      <c r="BT19" cm="1">
        <f t="array" ref="BT19">IF(OR(BQ19="",BQ19=0),0,IF(SUMPRODUCT((ISNUMBER(SEARCH(BQ19,$C$2:$C$33))+ISNUMBER(SEARCH($C$2:$C$33,BQ19)))*($B$2:$B$33=$B19))&gt;0,1,0))</f>
        <v>0</v>
      </c>
      <c r="BU19" t="str">
        <f>'Colin Mock wTrade'!D19</f>
        <v>Jermod McCoy</v>
      </c>
      <c r="BV19">
        <f>IF(BU19="",0,IF(OR(ISNUMBER(SEARCH(BU19,C19)),ISNUMBER(SEARCH(C19,BU19))),1,0))</f>
        <v>0</v>
      </c>
      <c r="BW19" cm="1">
        <f t="array" ref="BW19">IF(BU19="",0,IF(SUMPRODUCT(--(ISNUMBER(SEARCH(BU19,$C$2:$C$33))+ISNUMBER(SEARCH($C$2:$C$33,BU19))))&gt;0,1,0))</f>
        <v>0</v>
      </c>
      <c r="BX19" cm="1">
        <f t="array" ref="BX19">IF(BU19="",0,IFERROR(IF(SUMPRODUCT((ISNUMBER(SEARCH(BU19,$C$2:$C$33))+ISNUMBER(SEARCH($C$2:$C$33,BU19)))*($B$2:$B$33=VLOOKUP('Colin Mock wTrade'!C19,$CA$1:$CB$32,2,FALSE)))&gt;0,1,0),0))</f>
        <v>0</v>
      </c>
      <c r="CA19" t="s">
        <v>68</v>
      </c>
      <c r="CB19" t="s">
        <v>423</v>
      </c>
      <c r="CC19" t="str">
        <f>'Other analyst '!S19</f>
        <v>Dillon Thieneman</v>
      </c>
      <c r="CD19">
        <f t="shared" si="9"/>
        <v>0</v>
      </c>
      <c r="CE19" cm="1">
        <f t="array" ref="CE19">IF(CC19="",0,IF(SUMPRODUCT(--(ISNUMBER(SEARCH(CC19,$C$2:$C$33))+ISNUMBER(SEARCH($C$2:$C$33,CC19))))&gt;0,1,0))</f>
        <v>1</v>
      </c>
      <c r="CF19" cm="1">
        <f t="array" ref="CF19">IF(CC19="",0,IF(SUMPRODUCT((ISNUMBER(SEARCH(CC19,$C$2:$C$33))+ISNUMBER(SEARCH($C$2:$C$33,CC19)))*($B$2:$B$33=$B19))&gt;0,1,0))</f>
        <v>0</v>
      </c>
      <c r="CG19" t="str">
        <f>'Other analyst '!T19</f>
        <v>Dillon Thieneman</v>
      </c>
      <c r="CH19">
        <f t="shared" si="10"/>
        <v>0</v>
      </c>
      <c r="CI19" cm="1">
        <f t="array" ref="CI19">IF(CG19="",0,IF(SUMPRODUCT(--(ISNUMBER(SEARCH(CG19,$C$2:$C$33))+ISNUMBER(SEARCH($C$2:$C$33,CG19))))&gt;0,1,0))</f>
        <v>1</v>
      </c>
      <c r="CJ19" cm="1">
        <f t="array" ref="CJ19">IF(CG19="",0,IF(SUMPRODUCT((ISNUMBER(SEARCH(CG19,$C$2:$C$33))+ISNUMBER(SEARCH($C$2:$C$33,CG19)))*($B$2:$B$33=$B19))&gt;0,1,0))</f>
        <v>0</v>
      </c>
      <c r="CK19" t="str">
        <f>'Other analyst '!U19</f>
        <v>Jermod McCoy</v>
      </c>
      <c r="CL19">
        <f t="shared" si="11"/>
        <v>0</v>
      </c>
      <c r="CM19" cm="1">
        <f t="array" ref="CM19">IF(CK19="",0,IF(SUMPRODUCT(--(ISNUMBER(SEARCH(CK19,$C$2:$C$33))+ISNUMBER(SEARCH($C$2:$C$33,CK19))))&gt;0,1,0))</f>
        <v>0</v>
      </c>
      <c r="CN19" cm="1">
        <f t="array" ref="CN19">IF(CK19="",0,IF(SUMPRODUCT((ISNUMBER(SEARCH(CK19,$C$2:$C$33))+ISNUMBER(SEARCH($C$2:$C$33,CK19)))*($B$2:$B$33=$B19))&gt;0,1,0))</f>
        <v>0</v>
      </c>
      <c r="CO19" t="str">
        <f>'Other analyst '!V19</f>
        <v>Caleb Downs</v>
      </c>
      <c r="CP19">
        <f t="shared" si="12"/>
        <v>0</v>
      </c>
      <c r="CQ19" cm="1">
        <f t="array" ref="CQ19">IF(CO19="",0,IF(SUMPRODUCT(--(ISNUMBER(SEARCH(CO19,$C$2:$C$33))+ISNUMBER(SEARCH($C$2:$C$33,CO19))))&gt;0,1,0))</f>
        <v>1</v>
      </c>
      <c r="CR19" cm="1">
        <f t="array" ref="CR19">IF(CO19="",0,IF(SUMPRODUCT((ISNUMBER(SEARCH(CO19,$C$2:$C$33))+ISNUMBER(SEARCH($C$2:$C$33,CO19)))*($B$2:$B$33=$B19))&gt;0,1,0))</f>
        <v>0</v>
      </c>
      <c r="CS19" s="36" t="str">
        <f>'Other analyst '!W19</f>
        <v>Dillon Thieneman</v>
      </c>
      <c r="CT19">
        <f t="shared" si="13"/>
        <v>0</v>
      </c>
      <c r="CU19" cm="1">
        <f t="array" ref="CU19">IF(CS19="",0,IF(SUMPRODUCT(--(ISNUMBER(SEARCH(CS19,$C$2:$C$33))+ISNUMBER(SEARCH($C$2:$C$33,CS19))))&gt;0,1,0))</f>
        <v>1</v>
      </c>
      <c r="CV19" cm="1">
        <f t="array" ref="CV19">IF(CS19="",0,IFERROR(IF(SUMPRODUCT((ISNUMBER(SEARCH(CS19,$C$2:$C$33))+ISNUMBER(SEARCH($C$2:$C$33,CS19)))*(ISNUMBER(SEARCH($B$2:$B$33,'Other analyst '!B19))+ISNUMBER(SEARCH('Other analyst '!B19,$B$2:$B$33))))&gt;0,1,0),0))</f>
        <v>0</v>
      </c>
      <c r="CW19" s="36" t="str">
        <f>'Other analyst '!AD19</f>
        <v>Jermod McCoy</v>
      </c>
      <c r="CX19">
        <f t="shared" si="14"/>
        <v>0</v>
      </c>
      <c r="CY19" cm="1">
        <f t="array" ref="CY19">IF(CW19="",0,IF(SUMPRODUCT(--(ISNUMBER(SEARCH(CW19,$C$2:$C$33))+ISNUMBER(SEARCH($C$2:$C$33,CW19))))&gt;0,1,0))</f>
        <v>0</v>
      </c>
      <c r="CZ19" cm="1">
        <f t="array" ref="CZ19">IF(CW19="",0,IF(SUMPRODUCT((ISNUMBER(SEARCH(CW19,$C$2:$C$33))+ISNUMBER(SEARCH($C$2:$C$33,CW19)))*($B$2:$B$33=$B19))&gt;0,1,0))</f>
        <v>0</v>
      </c>
      <c r="DA19" s="36" t="str">
        <f>'Other analyst '!AE19</f>
        <v>Dillon Thieneman</v>
      </c>
      <c r="DB19">
        <f t="shared" si="15"/>
        <v>0</v>
      </c>
      <c r="DC19" cm="1">
        <f t="array" ref="DC19">IF(DA19="",0,IF(SUMPRODUCT(--(ISNUMBER(SEARCH(DA19,$C$2:$C$33))+ISNUMBER(SEARCH($C$2:$C$33,DA19))))&gt;0,1,0))</f>
        <v>1</v>
      </c>
      <c r="DD19" cm="1">
        <f t="array" ref="DD19">IF(DA19="",0,IF(SUMPRODUCT((ISNUMBER(SEARCH(DA19,$C$2:$C$33))+ISNUMBER(SEARCH($C$2:$C$33,DA19)))*($B$2:$B$33=$B19))&gt;0,1,0))</f>
        <v>0</v>
      </c>
      <c r="DE19" s="28" t="str">
        <f>'Other analyst '!AF19</f>
        <v>Emmanuel McNeil-Warren</v>
      </c>
      <c r="DF19">
        <f t="shared" si="16"/>
        <v>0</v>
      </c>
      <c r="DG19" cm="1">
        <f t="array" ref="DG19">IF(DE19="",0,IF(SUMPRODUCT(--(ISNUMBER(SEARCH(DE19,$C$2:$C$33))+ISNUMBER(SEARCH($C$2:$C$33,DE19))))&gt;0,1,0))</f>
        <v>0</v>
      </c>
      <c r="DH19" cm="1">
        <f t="array" ref="DH19">IF(DE19="",0,IF(SUMPRODUCT((ISNUMBER(SEARCH(DE19,$C$2:$C$33))+ISNUMBER(SEARCH($C$2:$C$33,DE19)))*($B$2:$B$33=$B19))&gt;0,1,0))</f>
        <v>0</v>
      </c>
      <c r="DI19" s="36" t="str">
        <f>'Other analyst '!AG19</f>
        <v>Kenyon Sadiq</v>
      </c>
      <c r="DJ19">
        <f t="shared" si="17"/>
        <v>0</v>
      </c>
      <c r="DK19" cm="1">
        <f t="array" ref="DK19">IF(DI19="",0,IF(SUMPRODUCT(--(ISNUMBER(SEARCH(DI19,$C$2:$C$33))+ISNUMBER(SEARCH($C$2:$C$33,DI19))))&gt;0,1,0))</f>
        <v>1</v>
      </c>
      <c r="DL19" cm="1">
        <f t="array" ref="DL19">IF(DI19="",0,IF(SUMPRODUCT((ISNUMBER(SEARCH(DI19,$C$2:$C$33))+ISNUMBER(SEARCH($C$2:$C$33,DI19)))*($B$2:$B$33=$B19))&gt;0,1,0))</f>
        <v>0</v>
      </c>
      <c r="DM19" s="36" t="str">
        <f>'Other analyst '!AB19</f>
        <v>Dillon Thieneman</v>
      </c>
      <c r="DN19">
        <f t="shared" si="18"/>
        <v>0</v>
      </c>
      <c r="DO19" cm="1">
        <f t="array" ref="DO19">IF(DM19="",0,IF(SUMPRODUCT(--(ISNUMBER(SEARCH(DM19,$C$2:$C$33))+ISNUMBER(SEARCH($C$2:$C$33,DM19))))&gt;0,1,0))</f>
        <v>1</v>
      </c>
      <c r="DP19" cm="1">
        <f t="array" ref="DP19">IF(DM19="",0,IFERROR(IF(SUMPRODUCT((ISNUMBER(SEARCH(DM19,$C$2:$C$33))+ISNUMBER(SEARCH($C$2:$C$33,DM19)))*(ISNUMBER(SEARCH($B$2:$B$33,'Other analyst '!B19))+ISNUMBER(SEARCH('Other analyst '!B19,$B$2:$B$33))))&gt;0,1,0),0))</f>
        <v>0</v>
      </c>
      <c r="DQ19" s="36" t="str">
        <f>'Other analyst '!AC19</f>
        <v>Dillon Thieneman</v>
      </c>
      <c r="DR19">
        <f t="shared" si="19"/>
        <v>0</v>
      </c>
      <c r="DS19" cm="1">
        <f t="array" ref="DS19">IF(DQ19="",0,IF(SUMPRODUCT(--(ISNUMBER(SEARCH(DQ19,$C$2:$C$33))+ISNUMBER(SEARCH($C$2:$C$33,DQ19))))&gt;0,1,0))</f>
        <v>1</v>
      </c>
      <c r="DT19" cm="1">
        <f t="array" ref="DT19">IF(DQ19="",0,IFERROR(IF(SUMPRODUCT((ISNUMBER(SEARCH(DQ19,$C$2:$C$33))+ISNUMBER(SEARCH($C$2:$C$33,DQ19)))*(ISNUMBER(SEARCH($B$2:$B$33,'Other analyst '!B19))+ISNUMBER(SEARCH('Other analyst '!B19,$B$2:$B$33))))&gt;0,1,0),0))</f>
        <v>0</v>
      </c>
      <c r="DU19" t="str">
        <f>IFERROR(TRIM(LEFT(IF(ISNUMBER(SEARCH("]",'Other analyst '!X19)),MID('Other analyst '!X19,SEARCH("]",'Other analyst '!X19)+1,200),'Other analyst '!X19),IFERROR(SEARCH(" (",IF(ISNUMBER(SEARCH("]",'Other analyst '!X19)),MID('Other analyst '!X19,SEARCH("]",'Other analyst '!X19)+1,200),'Other analyst '!X19))-1,LEN('Other analyst '!X19)))),"")</f>
        <v>Francis Mauigoa</v>
      </c>
      <c r="DV19">
        <f>IF(DU19="",0,IF(OR(ISNUMBER(SEARCH(DU19,C19)),ISNUMBER(SEARCH(C19,DU19))),1,0))</f>
        <v>0</v>
      </c>
      <c r="DW19" cm="1">
        <f t="array" ref="DW19">IF(DU19="",0,IF(SUMPRODUCT((ISNUMBER(SEARCH(DU19,$C$2:$C$33))+ISNUMBER(SEARCH($C$2:$C$33,DU19))))&gt;0,1,0))</f>
        <v>1</v>
      </c>
      <c r="DX19">
        <v>0</v>
      </c>
      <c r="DY19" t="str">
        <f>IFERROR(TRIM(LEFT(IF(ISNUMBER(SEARCH("]",'Other analyst '!Y19)),MID('Other analyst '!Y19,SEARCH("]",'Other analyst '!Y19)+1,200),'Other analyst '!Y19),IFERROR(SEARCH(" (",IF(ISNUMBER(SEARCH("]",'Other analyst '!Y19)),MID('Other analyst '!Y19,SEARCH("]",'Other analyst '!Y19)+1,200),'Other analyst '!Y19))-1,LEN('Other analyst '!Y19)))),"")</f>
        <v>Peter Woods</v>
      </c>
      <c r="DZ19">
        <f>IF(DY19="",0,IF(OR(ISNUMBER(SEARCH(DY19,C19)),ISNUMBER(SEARCH(C19,DY19))),1,0))</f>
        <v>0</v>
      </c>
      <c r="EA19" cm="1">
        <f t="array" ref="EA19">IF(DY19="",0,IF(SUMPRODUCT((ISNUMBER(SEARCH(DY19,$C$2:$C$33))+ISNUMBER(SEARCH($C$2:$C$33,DY19))))&gt;0,1,0))</f>
        <v>1</v>
      </c>
      <c r="EB19">
        <v>0</v>
      </c>
      <c r="EC19" t="str">
        <f>IFERROR(TRIM(LEFT(IF(ISNUMBER(SEARCH("]",'Other analyst '!Z19)),MID('Other analyst '!Z19,SEARCH("]",'Other analyst '!Z19)+1,200),'Other analyst '!Z19),IFERROR(SEARCH(" (",IF(ISNUMBER(SEARCH("]",'Other analyst '!Z19)),MID('Other analyst '!Z19,SEARCH("]",'Other analyst '!Z19)+1,200),'Other analyst '!Z19))-1,LEN('Other analyst '!Z19)))),"")</f>
        <v>Colton Hood</v>
      </c>
      <c r="ED19">
        <f>IF(EC19="",0,IF(OR(ISNUMBER(SEARCH(EC19,C19)),ISNUMBER(SEARCH(C19,EC19))),1,0))</f>
        <v>0</v>
      </c>
      <c r="EE19" cm="1">
        <f t="array" ref="EE19">IF(EC19="",0,IF(SUMPRODUCT((ISNUMBER(SEARCH(EC19,$C$2:$C$33))+ISNUMBER(SEARCH($C$2:$C$33,EC19))))&gt;0,1,0))</f>
        <v>0</v>
      </c>
      <c r="EF19">
        <v>0</v>
      </c>
      <c r="EG19" t="str">
        <f>IFERROR(TRIM(LEFT(IF(ISNUMBER(SEARCH("]",'Other analyst '!AA19)),MID('Other analyst '!AA19,SEARCH("]",'Other analyst '!AA19)+1,200),'Other analyst '!AA19),IFERROR(SEARCH(" (",IF(ISNUMBER(SEARCH("]",'Other analyst '!AA19)),MID('Other analyst '!AA19,SEARCH("]",'Other analyst '!AA19)+1,200),'Other analyst '!AA19))-1,LEN('Other analyst '!AA19)))),"")</f>
        <v>Peter Woods</v>
      </c>
      <c r="EH19">
        <f>IF(EG19="",0,IF(OR(ISNUMBER(SEARCH(EG19,C19)),ISNUMBER(SEARCH(C19,EG19))),1,0))</f>
        <v>0</v>
      </c>
      <c r="EI19" cm="1">
        <f t="array" ref="EI19">IF(EG19="",0,IF(SUMPRODUCT((ISNUMBER(SEARCH(EG19,$C$2:$C$33))+ISNUMBER(SEARCH($C$2:$C$33,EG19))))&gt;0,1,0))</f>
        <v>1</v>
      </c>
      <c r="EJ19">
        <v>0</v>
      </c>
      <c r="EK19">
        <f>K19+L19+M19+N19+O19+P19+AF19+AI19+AL19+AP19+AT19+AX19+BB19+BF19+BJ19+BN19+BR19+BV19+CD19+CH19+CL19+CP19+CT19+DV19+DZ19+ED19+EH19+DN19+DR19+CX19+DB19+DF19+DJ19</f>
        <v>0</v>
      </c>
    </row>
    <row r="20" spans="1:141">
      <c r="A20" s="30">
        <v>19</v>
      </c>
      <c r="B20" s="30" t="str">
        <f>'Actual nfl first round'!C20</f>
        <v>Panthers</v>
      </c>
      <c r="C20" s="31" t="str" cm="1">
        <f t="array" ref="C20">_xlfn.LET(_xlpm.actual, 'Actual nfl first round'!D20,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Monroe Freeling</v>
      </c>
      <c r="D20" s="32" t="str">
        <f>'Colin''s Mock'!D20</f>
        <v>Blake Miller</v>
      </c>
      <c r="E20" s="32" t="str">
        <f>_xlfn.LET(_xlpm.raw, 'Other analyst '!C20, _xlpm.s, IF(LEFT(_xlpm.raw,1)="[", MID(_xlpm.raw, FIND("] ",_xlpm.raw)+2, 999), _xlpm.raw), IFERROR(TRIM(LEFT(_xlpm.s, FIND(" (",_xlpm.s)-1)), _xlpm.raw))</f>
        <v>Kayden McDonald</v>
      </c>
      <c r="F20" s="32" t="str">
        <f>_xlfn.LET(_xlpm.raw, 'Other analyst '!D20, _xlpm.s, IF(LEFT(_xlpm.raw,1)="[", MID(_xlpm.raw, FIND("] ",_xlpm.raw)+2, 999), _xlpm.raw), IFERROR(TRIM(LEFT(_xlpm.s, FIND(" (",_xlpm.s)-1)), _xlpm.raw))</f>
        <v>Emmanuel McNeil-Warren</v>
      </c>
      <c r="G20" s="32" t="str">
        <f>_xlfn.LET(_xlpm.raw, 'Other analyst '!E20, _xlpm.s, IF(LEFT(_xlpm.raw,1)="[", MID(_xlpm.raw, FIND("] ",_xlpm.raw)+2, 999), _xlpm.raw), IFERROR(TRIM(LEFT(_xlpm.s, FIND(" (",_xlpm.s)-1)), _xlpm.raw))</f>
        <v>Blake Miller</v>
      </c>
      <c r="H20" s="32" t="str">
        <f>_xlfn.LET(_xlpm.raw, 'Other analyst '!F20, _xlpm.s, IF(LEFT(_xlpm.raw,1)="[", MID(_xlpm.raw, FIND("] ",_xlpm.raw)+2, 999), _xlpm.raw), IFERROR(TRIM(LEFT(_xlpm.s, FIND(" (",_xlpm.s)-1)), _xlpm.raw))</f>
        <v>Kenyon Sadiq</v>
      </c>
      <c r="I20" s="32" t="str">
        <f>_xlfn.LET(_xlpm.raw, 'Other analyst '!G20, _xlpm.s, IF(LEFT(_xlpm.raw,1)="[", MID(_xlpm.raw, FIND("] ",_xlpm.raw)+2, 999), _xlpm.raw), IFERROR(TRIM(LEFT(_xlpm.s, FIND(" (",_xlpm.s)-1)), _xlpm.raw))</f>
        <v>Omar Cooper Jr.</v>
      </c>
      <c r="K20" s="1">
        <f t="shared" si="0"/>
        <v>0</v>
      </c>
      <c r="L20" s="1">
        <f t="shared" si="1"/>
        <v>0</v>
      </c>
      <c r="M20" s="1">
        <f t="shared" si="2"/>
        <v>0</v>
      </c>
      <c r="N20" s="1">
        <f t="shared" si="3"/>
        <v>0</v>
      </c>
      <c r="O20" s="1">
        <f t="shared" si="4"/>
        <v>0</v>
      </c>
      <c r="P20" s="1">
        <f t="shared" si="5"/>
        <v>0</v>
      </c>
      <c r="Q20" s="1" cm="1">
        <f t="array" ref="Q20">IF(D20="", 0, IF(SUMPRODUCT(--(ISNUMBER(SEARCH(D20, $C$2:$C$33)) + ISNUMBER(SEARCH($C$2:$C$33, D20))))&gt;0, 1, 0))</f>
        <v>1</v>
      </c>
      <c r="R20" s="1" cm="1">
        <f t="array" ref="R20">IF(E20="", 0, IF(SUMPRODUCT(--(ISNUMBER(SEARCH(E20, $C$2:$C$33)) + ISNUMBER(SEARCH($C$2:$C$33, E20))))&gt;0, 1, 0))</f>
        <v>0</v>
      </c>
      <c r="S20" s="1" cm="1">
        <f t="array" ref="S20">IF(F20="", 0, IF(SUMPRODUCT(--(ISNUMBER(SEARCH(F20, $C$2:$C$33)) + ISNUMBER(SEARCH($C$2:$C$33, F20))))&gt;0, 1, 0))</f>
        <v>0</v>
      </c>
      <c r="T20" s="1" cm="1">
        <f t="array" ref="T20">IF(G20="", 0, IF(SUMPRODUCT(--(ISNUMBER(SEARCH(G20, $C$2:$C$33)) + ISNUMBER(SEARCH($C$2:$C$33, G20))))&gt;0, 1, 0))</f>
        <v>1</v>
      </c>
      <c r="U20" s="1" cm="1">
        <f t="array" ref="U20">IF(H20="", 0, IF(SUMPRODUCT(--(ISNUMBER(SEARCH(H20, $C$2:$C$33)) + ISNUMBER(SEARCH($C$2:$C$33, H20))))&gt;0, 1, 0))</f>
        <v>1</v>
      </c>
      <c r="V20" s="1" cm="1">
        <f t="array" ref="V20">IF(I20="", 0, IF(SUMPRODUCT(--(ISNUMBER(SEARCH(I20, $C$2:$C$33)) + ISNUMBER(SEARCH($C$2:$C$33, I20))))&gt;0, 1, 0))</f>
        <v>1</v>
      </c>
      <c r="W20" s="1" cm="1">
        <f t="array" ref="W20">IF(D20="",0,IF(SUMPRODUCT((ISNUMBER(SEARCH(D20,$C$2:$C$33))+ISNUMBER(SEARCH($C$2:$C$33,D20)))*($B$2:$B$33=$B20))&gt;0,1,0))</f>
        <v>0</v>
      </c>
      <c r="X20" s="1" cm="1">
        <f t="array" ref="X20">IF(E20="",0,IF(SUMPRODUCT((ISNUMBER(SEARCH(E20,$C$2:$C$33))+ISNUMBER(SEARCH($C$2:$C$33,E20)))*($B$2:$B$33=$B20))&gt;0,1,0))</f>
        <v>0</v>
      </c>
      <c r="Y20" s="1" cm="1">
        <f t="array" ref="Y20">IF(F20="",0,IF(SUMPRODUCT((ISNUMBER(SEARCH(F20,$C$2:$C$33))+ISNUMBER(SEARCH($C$2:$C$33,F20)))*($B$2:$B$33=$B20))&gt;0,1,0))</f>
        <v>0</v>
      </c>
      <c r="Z20" s="1" cm="1">
        <f t="array" ref="Z20">IF(G20="",0,IF(SUMPRODUCT((ISNUMBER(SEARCH(G20,$C$2:$C$33))+ISNUMBER(SEARCH($C$2:$C$33,G20)))*($B$2:$B$33=$B20))&gt;0,1,0))</f>
        <v>0</v>
      </c>
      <c r="AA20" s="1" cm="1">
        <f t="array" ref="AA20">IF(H20="",0,IF(SUMPRODUCT((ISNUMBER(SEARCH(H20,$C$2:$C$33))+ISNUMBER(SEARCH($C$2:$C$33,H20)))*($B$2:$B$33=$B20))&gt;0,1,0))</f>
        <v>0</v>
      </c>
      <c r="AB20" s="1" cm="1">
        <f t="array" ref="AB20">IF(I20="",0,IF(SUMPRODUCT((ISNUMBER(SEARCH(I20,$C$2:$C$33))+ISNUMBER(SEARCH($C$2:$C$33,I20)))*($B$2:$B$33=$B20))&gt;0,1,0))</f>
        <v>0</v>
      </c>
      <c r="AC20" s="36" t="s">
        <v>60</v>
      </c>
      <c r="AD20" s="36" t="s">
        <v>89</v>
      </c>
      <c r="AE20" s="36" t="s">
        <v>76</v>
      </c>
      <c r="AF20">
        <f t="shared" si="6"/>
        <v>0</v>
      </c>
      <c r="AG20" cm="1">
        <f t="array" ref="AG20">IF(AC20="",0,IF(SUMPRODUCT((ISNUMBER(SEARCH(AC20,$C$2:$C$33))+ISNUMBER(SEARCH($C$2:$C$33,AC20))))&gt;0,1,0))</f>
        <v>1</v>
      </c>
      <c r="AH20" cm="1">
        <f t="array" ref="AH20">IF(AC20="",0,IF(SUMPRODUCT((ISNUMBER(SEARCH(AC20,$C$2:$C$33))+ISNUMBER(SEARCH($C$2:$C$33,AC20)))*($B$2:$B$33=$B20))&gt;0,1,0))</f>
        <v>0</v>
      </c>
      <c r="AI20">
        <f t="shared" si="7"/>
        <v>0</v>
      </c>
      <c r="AJ20" cm="1">
        <f t="array" ref="AJ20">IF(AD20="",0,IF(SUMPRODUCT((ISNUMBER(SEARCH(AD20,$C$2:$C$33))+ISNUMBER(SEARCH($C$2:$C$33,AD20))))&gt;0,1,0))</f>
        <v>1</v>
      </c>
      <c r="AK20" cm="1">
        <f t="array" ref="AK20">IF(AD20="",0,IF(SUMPRODUCT((ISNUMBER(SEARCH(AD20,$C$2:$C$33))+ISNUMBER(SEARCH($C$2:$C$33,AD20)))*($B$2:$B$33=$B20))&gt;0,1,0))</f>
        <v>0</v>
      </c>
      <c r="AL20">
        <f t="shared" si="8"/>
        <v>0</v>
      </c>
      <c r="AM20" cm="1">
        <f t="array" ref="AM20">IF(AE20="",0,IF(SUMPRODUCT((ISNUMBER(SEARCH(AE20,$C$2:$C$33))+ISNUMBER(SEARCH($C$2:$C$33,AE20))))&gt;0,1,0))</f>
        <v>1</v>
      </c>
      <c r="AN20" cm="1">
        <f t="array" ref="AN20">IF(AE20="",0,IF(SUMPRODUCT((ISNUMBER(SEARCH(AE20,$C$2:$C$33))+ISNUMBER(SEARCH($C$2:$C$33,AE20)))*($B$2:$B$33=$B20))&gt;0,1,0))</f>
        <v>0</v>
      </c>
      <c r="AO20" s="64" t="str" cm="1">
        <f t="array" ref="AO20">_xlfn.LET(_xlpm.raw,'Other analyst '!K20,_xlpm.mockNames,'Colin''s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Makai Lemon</v>
      </c>
      <c r="AP20">
        <f>IF(OR(AO20="",AO20=0),0,IF(OR(ISNUMBER(SEARCH(AO20,$C20)),ISNUMBER(SEARCH($C20,AO20))),1,0))</f>
        <v>0</v>
      </c>
      <c r="AQ20" cm="1">
        <f t="array" ref="AQ20">IF(OR(AO20="",AO20=0),0,IF(SUMPRODUCT(--(ISNUMBER(SEARCH(AO20,$C$2:$C$33))+ISNUMBER(SEARCH($C$2:$C$33,AO20))))&gt;0,1,0))</f>
        <v>1</v>
      </c>
      <c r="AR20" cm="1">
        <f t="array" ref="AR20">IF(OR(AO20="",AO20=0),0,IF(SUMPRODUCT((ISNUMBER(SEARCH(AO20,$C$2:$C$33))+ISNUMBER(SEARCH($C$2:$C$33,AO20)))*($B$2:$B$33=$B20))&gt;0,1,0))</f>
        <v>0</v>
      </c>
      <c r="AS20" s="64" t="str" cm="1">
        <f t="array" ref="AS20">_xlfn.LET(_xlpm.raw,'Other analyst '!L20,_xlpm.mockNames,'Colin''s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Dillon Thieneman</v>
      </c>
      <c r="AT20">
        <f>IF(OR(AS20="",AS20=0),0,IF(OR(ISNUMBER(SEARCH(AS20,$C20)),ISNUMBER(SEARCH($C20,AS20))),1,0))</f>
        <v>0</v>
      </c>
      <c r="AU20" cm="1">
        <f t="array" ref="AU20">IF(OR(AS20="",AS20=0),0,IF(SUMPRODUCT(--(ISNUMBER(SEARCH(AS20,$C$2:$C$33))+ISNUMBER(SEARCH($C$2:$C$33,AS20))))&gt;0,1,0))</f>
        <v>1</v>
      </c>
      <c r="AV20" cm="1">
        <f t="array" ref="AV20">IF(OR(AS20="",AS20=0),0,IF(SUMPRODUCT((ISNUMBER(SEARCH(AS20,$C$2:$C$33))+ISNUMBER(SEARCH($C$2:$C$33,AS20)))*($B$2:$B$33=$B20))&gt;0,1,0))</f>
        <v>0</v>
      </c>
      <c r="AW20" s="64" t="str" cm="1">
        <f t="array" ref="AW20">_xlfn.LET(_xlpm.raw,'Other analyst '!M20,_xlpm.mockNames,'Colin''s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Kadyn Proctor</v>
      </c>
      <c r="AX20">
        <f>IF(OR(AW20="",AW20=0),0,IF(OR(ISNUMBER(SEARCH(AW20,$C20)),ISNUMBER(SEARCH($C20,AW20))),1,0))</f>
        <v>0</v>
      </c>
      <c r="AY20" cm="1">
        <f t="array" ref="AY20">IF(OR(AW20="",AW20=0),0,IF(SUMPRODUCT(--(ISNUMBER(SEARCH(AW20,$C$2:$C$33))+ISNUMBER(SEARCH($C$2:$C$33,AW20))))&gt;0,1,0))</f>
        <v>1</v>
      </c>
      <c r="AZ20" cm="1">
        <f t="array" ref="AZ20">IF(OR(AW20="",AW20=0),0,IF(SUMPRODUCT((ISNUMBER(SEARCH(AW20,$C$2:$C$33))+ISNUMBER(SEARCH($C$2:$C$33,AW20)))*($B$2:$B$33=$B20))&gt;0,1,0))</f>
        <v>0</v>
      </c>
      <c r="BA20" s="64" t="str" cm="1">
        <f t="array" ref="BA20">_xlfn.LET(_xlpm.raw,'Other analyst '!N20,_xlpm.mockNames,'Colin''s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KC Concepcion</v>
      </c>
      <c r="BB20">
        <f>IF(OR(BA20="",BA20=0),0,IF(OR(ISNUMBER(SEARCH(BA20,$C20)),ISNUMBER(SEARCH($C20,BA20))),1,0))</f>
        <v>0</v>
      </c>
      <c r="BC20" cm="1">
        <f t="array" ref="BC20">IF(OR(BA20="",BA20=0),0,IF(SUMPRODUCT(--(ISNUMBER(SEARCH(BA20,$C$2:$C$33))+ISNUMBER(SEARCH($C$2:$C$33,BA20))))&gt;0,1,0))</f>
        <v>1</v>
      </c>
      <c r="BD20" cm="1">
        <f t="array" ref="BD20">IF(OR(BA20="",BA20=0),0,IF(SUMPRODUCT((ISNUMBER(SEARCH(BA20,$C$2:$C$33))+ISNUMBER(SEARCH($C$2:$C$33,BA20)))*($B$2:$B$33=$B20))&gt;0,1,0))</f>
        <v>0</v>
      </c>
      <c r="BE20" s="65" t="str" cm="1">
        <f t="array" ref="BE20">_xlfn.LET(_xlpm.raw,'Other analyst '!O20,_xlpm.mockNames,'Colin''s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Emmanuel McNeil-Warren</v>
      </c>
      <c r="BF20">
        <f>IF(OR(BE20="",BE20=0),0,IF(OR(ISNUMBER(SEARCH(BE20,$C20)),ISNUMBER(SEARCH($C20,BE20))),1,0))</f>
        <v>0</v>
      </c>
      <c r="BG20" cm="1">
        <f t="array" ref="BG20">IF(OR(BE20="",BE20=0),0,IF(SUMPRODUCT(--(ISNUMBER(SEARCH(BE20,$C$2:$C$33))+ISNUMBER(SEARCH($C$2:$C$33,BE20))))&gt;0,1,0))</f>
        <v>0</v>
      </c>
      <c r="BH20" cm="1">
        <f t="array" ref="BH20">IF(OR(BE20="",BE20=0),0,IF(SUMPRODUCT((ISNUMBER(SEARCH(BE20,$C$2:$C$33))+ISNUMBER(SEARCH($C$2:$C$33,BE20)))*($B$2:$B$33=$B20))&gt;0,1,0))</f>
        <v>0</v>
      </c>
      <c r="BI20" s="64" t="str" cm="1">
        <f t="array" ref="BI20">_xlfn.LET(_xlpm.raw,'Other analyst '!P20,_xlpm.mockNames,'Colin''s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Kadyn Proctor</v>
      </c>
      <c r="BJ20">
        <f>IF(OR(BI20="",BI20=0),0,IF(OR(ISNUMBER(SEARCH(BI20,$C20)),ISNUMBER(SEARCH($C20,BI20))),1,0))</f>
        <v>0</v>
      </c>
      <c r="BK20" cm="1">
        <f t="array" ref="BK20">IF(OR(BI20="",BI20=0),0,IF(SUMPRODUCT(--(ISNUMBER(SEARCH(BI20,$C$2:$C$33))+ISNUMBER(SEARCH($C$2:$C$33,BI20))))&gt;0,1,0))</f>
        <v>1</v>
      </c>
      <c r="BL20" cm="1">
        <f t="array" ref="BL20">IF(OR(BI20="",BI20=0),0,IF(SUMPRODUCT((ISNUMBER(SEARCH(BI20,$C$2:$C$33))+ISNUMBER(SEARCH($C$2:$C$33,BI20)))*($B$2:$B$33=$B20))&gt;0,1,0))</f>
        <v>0</v>
      </c>
      <c r="BM20" s="64" t="str" cm="1">
        <f t="array" ref="BM20">_xlfn.LET(_xlpm.raw,'Other analyst '!Q20,_xlpm.mockNames,'Colin''s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Kenyon Sadiq</v>
      </c>
      <c r="BN20">
        <f>IF(OR(BM20="",BM20=0),0,IF(OR(ISNUMBER(SEARCH(BM20,$C20)),ISNUMBER(SEARCH($C20,BM20))),1,0))</f>
        <v>0</v>
      </c>
      <c r="BO20" cm="1">
        <f t="array" ref="BO20">IF(OR(BM20="",BM20=0),0,IF(SUMPRODUCT(--(ISNUMBER(SEARCH(BM20,$C$2:$C$33))+ISNUMBER(SEARCH($C$2:$C$33,BM20))))&gt;0,1,0))</f>
        <v>1</v>
      </c>
      <c r="BP20" cm="1">
        <f t="array" ref="BP20">IF(OR(BM20="",BM20=0),0,IF(SUMPRODUCT((ISNUMBER(SEARCH(BM20,$C$2:$C$33))+ISNUMBER(SEARCH($C$2:$C$33,BM20)))*($B$2:$B$33=$B20))&gt;0,1,0))</f>
        <v>0</v>
      </c>
      <c r="BQ20" s="64" t="str" cm="1">
        <f t="array" ref="BQ20">_xlfn.LET(_xlpm.raw,'Other analyst '!R20,_xlpm.mockNames,'Colin''s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Dillon Thieneman</v>
      </c>
      <c r="BR20">
        <f>IF(OR(BQ20="",BQ20=0),0,IF(OR(ISNUMBER(SEARCH(BQ20,$C20)),ISNUMBER(SEARCH($C20,BQ20))),1,0))</f>
        <v>0</v>
      </c>
      <c r="BS20" cm="1">
        <f t="array" ref="BS20">IF(OR(BQ20="",BQ20=0),0,IF(SUMPRODUCT(--(ISNUMBER(SEARCH(BQ20,$C$2:$C$33))+ISNUMBER(SEARCH($C$2:$C$33,BQ20))))&gt;0,1,0))</f>
        <v>1</v>
      </c>
      <c r="BT20" cm="1">
        <f t="array" ref="BT20">IF(OR(BQ20="",BQ20=0),0,IF(SUMPRODUCT((ISNUMBER(SEARCH(BQ20,$C$2:$C$33))+ISNUMBER(SEARCH($C$2:$C$33,BQ20)))*($B$2:$B$33=$B20))&gt;0,1,0))</f>
        <v>0</v>
      </c>
      <c r="BU20" s="76" t="str">
        <f>'Colin Mock wTrade'!D20</f>
        <v>Blake Miller</v>
      </c>
      <c r="BV20">
        <f>IF(BU20="",0,IF(OR(ISNUMBER(SEARCH(BU20,C20)),ISNUMBER(SEARCH(C20,BU20))),1,0))</f>
        <v>0</v>
      </c>
      <c r="BW20" cm="1">
        <f t="array" ref="BW20">IF(BU20="",0,IF(SUMPRODUCT(--(ISNUMBER(SEARCH(BU20,$C$2:$C$33))+ISNUMBER(SEARCH($C$2:$C$33,BU20))))&gt;0,1,0))</f>
        <v>1</v>
      </c>
      <c r="BX20" cm="1">
        <f t="array" ref="BX20">IF(BU20="",0,IFERROR(IF(SUMPRODUCT((ISNUMBER(SEARCH(BU20,$C$2:$C$33))+ISNUMBER(SEARCH($C$2:$C$33,BU20)))*($B$2:$B$33=VLOOKUP('Colin Mock wTrade'!C20,$CA$1:$CB$32,2,FALSE)))&gt;0,1,0),0))</f>
        <v>0</v>
      </c>
      <c r="CA20" t="s">
        <v>71</v>
      </c>
      <c r="CB20" t="s">
        <v>425</v>
      </c>
      <c r="CC20" t="str">
        <f>'Other analyst '!S20</f>
        <v>Kenyon Sadiq</v>
      </c>
      <c r="CD20">
        <f t="shared" si="9"/>
        <v>0</v>
      </c>
      <c r="CE20" cm="1">
        <f t="array" ref="CE20">IF(CC20="",0,IF(SUMPRODUCT(--(ISNUMBER(SEARCH(CC20,$C$2:$C$33))+ISNUMBER(SEARCH($C$2:$C$33,CC20))))&gt;0,1,0))</f>
        <v>1</v>
      </c>
      <c r="CF20" cm="1">
        <f t="array" ref="CF20">IF(CC20="",0,IF(SUMPRODUCT((ISNUMBER(SEARCH(CC20,$C$2:$C$33))+ISNUMBER(SEARCH($C$2:$C$33,CC20)))*($B$2:$B$33=$B20))&gt;0,1,0))</f>
        <v>0</v>
      </c>
      <c r="CG20" t="str">
        <f>'Other analyst '!T20</f>
        <v>KC Concepcion</v>
      </c>
      <c r="CH20">
        <f t="shared" si="10"/>
        <v>0</v>
      </c>
      <c r="CI20" cm="1">
        <f t="array" ref="CI20">IF(CG20="",0,IF(SUMPRODUCT(--(ISNUMBER(SEARCH(CG20,$C$2:$C$33))+ISNUMBER(SEARCH($C$2:$C$33,CG20))))&gt;0,1,0))</f>
        <v>1</v>
      </c>
      <c r="CJ20" cm="1">
        <f t="array" ref="CJ20">IF(CG20="",0,IF(SUMPRODUCT((ISNUMBER(SEARCH(CG20,$C$2:$C$33))+ISNUMBER(SEARCH($C$2:$C$33,CG20)))*($B$2:$B$33=$B20))&gt;0,1,0))</f>
        <v>0</v>
      </c>
      <c r="CK20" t="str">
        <f>'Other analyst '!U20</f>
        <v>Akheem Mesidor</v>
      </c>
      <c r="CL20">
        <f t="shared" si="11"/>
        <v>0</v>
      </c>
      <c r="CM20" cm="1">
        <f t="array" ref="CM20">IF(CK20="",0,IF(SUMPRODUCT(--(ISNUMBER(SEARCH(CK20,$C$2:$C$33))+ISNUMBER(SEARCH($C$2:$C$33,CK20))))&gt;0,1,0))</f>
        <v>1</v>
      </c>
      <c r="CN20" cm="1">
        <f t="array" ref="CN20">IF(CK20="",0,IF(SUMPRODUCT((ISNUMBER(SEARCH(CK20,$C$2:$C$33))+ISNUMBER(SEARCH($C$2:$C$33,CK20)))*($B$2:$B$33=$B20))&gt;0,1,0))</f>
        <v>0</v>
      </c>
      <c r="CO20" t="str">
        <f>'Other analyst '!V20</f>
        <v>Mansoor Delane</v>
      </c>
      <c r="CP20">
        <f t="shared" si="12"/>
        <v>0</v>
      </c>
      <c r="CQ20" cm="1">
        <f t="array" ref="CQ20">IF(CO20="",0,IF(SUMPRODUCT(--(ISNUMBER(SEARCH(CO20,$C$2:$C$33))+ISNUMBER(SEARCH($C$2:$C$33,CO20))))&gt;0,1,0))</f>
        <v>1</v>
      </c>
      <c r="CR20" cm="1">
        <f t="array" ref="CR20">IF(CO20="",0,IF(SUMPRODUCT((ISNUMBER(SEARCH(CO20,$C$2:$C$33))+ISNUMBER(SEARCH($C$2:$C$33,CO20)))*($B$2:$B$33=$B20))&gt;0,1,0))</f>
        <v>0</v>
      </c>
      <c r="CS20" s="36" t="str">
        <f>'Other analyst '!W20</f>
        <v>Spencer Fano</v>
      </c>
      <c r="CT20">
        <f t="shared" si="13"/>
        <v>0</v>
      </c>
      <c r="CU20" cm="1">
        <f t="array" ref="CU20">IF(CS20="",0,IF(SUMPRODUCT(--(ISNUMBER(SEARCH(CS20,$C$2:$C$33))+ISNUMBER(SEARCH($C$2:$C$33,CS20))))&gt;0,1,0))</f>
        <v>1</v>
      </c>
      <c r="CV20" cm="1">
        <f t="array" ref="CV20">IF(CS20="",0,IFERROR(IF(SUMPRODUCT((ISNUMBER(SEARCH(CS20,$C$2:$C$33))+ISNUMBER(SEARCH($C$2:$C$33,CS20)))*(ISNUMBER(SEARCH($B$2:$B$33,'Other analyst '!B20))+ISNUMBER(SEARCH('Other analyst '!B20,$B$2:$B$33))))&gt;0,1,0),0))</f>
        <v>0</v>
      </c>
      <c r="CW20" s="36" t="str">
        <f>'Other analyst '!AD20</f>
        <v>Dillon Thieneman</v>
      </c>
      <c r="CX20">
        <f t="shared" si="14"/>
        <v>0</v>
      </c>
      <c r="CY20" cm="1">
        <f t="array" ref="CY20">IF(CW20="",0,IF(SUMPRODUCT(--(ISNUMBER(SEARCH(CW20,$C$2:$C$33))+ISNUMBER(SEARCH($C$2:$C$33,CW20))))&gt;0,1,0))</f>
        <v>1</v>
      </c>
      <c r="CZ20" cm="1">
        <f t="array" ref="CZ20">IF(CW20="",0,IF(SUMPRODUCT((ISNUMBER(SEARCH(CW20,$C$2:$C$33))+ISNUMBER(SEARCH($C$2:$C$33,CW20)))*($B$2:$B$33=$B20))&gt;0,1,0))</f>
        <v>0</v>
      </c>
      <c r="DA20" s="36" t="str">
        <f>'Other analyst '!AE20</f>
        <v>Makai Lemon</v>
      </c>
      <c r="DB20">
        <f t="shared" si="15"/>
        <v>0</v>
      </c>
      <c r="DC20" cm="1">
        <f t="array" ref="DC20">IF(DA20="",0,IF(SUMPRODUCT(--(ISNUMBER(SEARCH(DA20,$C$2:$C$33))+ISNUMBER(SEARCH($C$2:$C$33,DA20))))&gt;0,1,0))</f>
        <v>1</v>
      </c>
      <c r="DD20" cm="1">
        <f t="array" ref="DD20">IF(DA20="",0,IF(SUMPRODUCT((ISNUMBER(SEARCH(DA20,$C$2:$C$33))+ISNUMBER(SEARCH($C$2:$C$33,DA20)))*($B$2:$B$33=$B20))&gt;0,1,0))</f>
        <v>0</v>
      </c>
      <c r="DE20" s="36" t="str">
        <f>'Other analyst '!AF20</f>
        <v>Olaivavega Ioane</v>
      </c>
      <c r="DF20">
        <f t="shared" si="16"/>
        <v>0</v>
      </c>
      <c r="DG20" cm="1">
        <f t="array" ref="DG20">IF(DE20="",0,IF(SUMPRODUCT(--(ISNUMBER(SEARCH(DE20,$C$2:$C$33))+ISNUMBER(SEARCH($C$2:$C$33,DE20))))&gt;0,1,0))</f>
        <v>1</v>
      </c>
      <c r="DH20" cm="1">
        <f t="array" ref="DH20">IF(DE20="",0,IF(SUMPRODUCT((ISNUMBER(SEARCH(DE20,$C$2:$C$33))+ISNUMBER(SEARCH($C$2:$C$33,DE20)))*($B$2:$B$33=$B20))&gt;0,1,0))</f>
        <v>0</v>
      </c>
      <c r="DI20" s="36" t="str">
        <f>'Other analyst '!AG20</f>
        <v>Dillon Thieneman</v>
      </c>
      <c r="DJ20">
        <f t="shared" si="17"/>
        <v>0</v>
      </c>
      <c r="DK20" cm="1">
        <f t="array" ref="DK20">IF(DI20="",0,IF(SUMPRODUCT(--(ISNUMBER(SEARCH(DI20,$C$2:$C$33))+ISNUMBER(SEARCH($C$2:$C$33,DI20))))&gt;0,1,0))</f>
        <v>1</v>
      </c>
      <c r="DL20" cm="1">
        <f t="array" ref="DL20">IF(DI20="",0,IF(SUMPRODUCT((ISNUMBER(SEARCH(DI20,$C$2:$C$33))+ISNUMBER(SEARCH($C$2:$C$33,DI20)))*($B$2:$B$33=$B20))&gt;0,1,0))</f>
        <v>0</v>
      </c>
      <c r="DM20" s="36" t="str">
        <f>'Other analyst '!AB20</f>
        <v>Kenyon Sadiq</v>
      </c>
      <c r="DN20">
        <f t="shared" si="18"/>
        <v>0</v>
      </c>
      <c r="DO20" cm="1">
        <f t="array" ref="DO20">IF(DM20="",0,IF(SUMPRODUCT(--(ISNUMBER(SEARCH(DM20,$C$2:$C$33))+ISNUMBER(SEARCH($C$2:$C$33,DM20))))&gt;0,1,0))</f>
        <v>1</v>
      </c>
      <c r="DP20" cm="1">
        <f t="array" ref="DP20">IF(DM20="",0,IFERROR(IF(SUMPRODUCT((ISNUMBER(SEARCH(DM20,$C$2:$C$33))+ISNUMBER(SEARCH($C$2:$C$33,DM20)))*(ISNUMBER(SEARCH($B$2:$B$33,'Other analyst '!B20))+ISNUMBER(SEARCH('Other analyst '!B20,$B$2:$B$33))))&gt;0,1,0),0))</f>
        <v>0</v>
      </c>
      <c r="DQ20" s="36" t="str">
        <f>'Other analyst '!AC20</f>
        <v>KC Concepcion</v>
      </c>
      <c r="DR20">
        <f t="shared" si="19"/>
        <v>0</v>
      </c>
      <c r="DS20" cm="1">
        <f t="array" ref="DS20">IF(DQ20="",0,IF(SUMPRODUCT(--(ISNUMBER(SEARCH(DQ20,$C$2:$C$33))+ISNUMBER(SEARCH($C$2:$C$33,DQ20))))&gt;0,1,0))</f>
        <v>1</v>
      </c>
      <c r="DT20" cm="1">
        <f t="array" ref="DT20">IF(DQ20="",0,IFERROR(IF(SUMPRODUCT((ISNUMBER(SEARCH(DQ20,$C$2:$C$33))+ISNUMBER(SEARCH($C$2:$C$33,DQ20)))*(ISNUMBER(SEARCH($B$2:$B$33,'Other analyst '!B20))+ISNUMBER(SEARCH('Other analyst '!B20,$B$2:$B$33))))&gt;0,1,0),0))</f>
        <v>0</v>
      </c>
      <c r="DU20" t="str">
        <f>IFERROR(TRIM(LEFT(IF(ISNUMBER(SEARCH("]",'Other analyst '!X20)),MID('Other analyst '!X20,SEARCH("]",'Other analyst '!X20)+1,200),'Other analyst '!X20),IFERROR(SEARCH(" (",IF(ISNUMBER(SEARCH("]",'Other analyst '!X20)),MID('Other analyst '!X20,SEARCH("]",'Other analyst '!X20)+1,200),'Other analyst '!X20))-1,LEN('Other analyst '!X20)))),"")</f>
        <v>Dillon Thieneman</v>
      </c>
      <c r="DV20">
        <f>IF(DU20="",0,IF(OR(ISNUMBER(SEARCH(DU20,C20)),ISNUMBER(SEARCH(C20,DU20))),1,0))</f>
        <v>0</v>
      </c>
      <c r="DW20" cm="1">
        <f t="array" ref="DW20">IF(DU20="",0,IF(SUMPRODUCT((ISNUMBER(SEARCH(DU20,$C$2:$C$33))+ISNUMBER(SEARCH($C$2:$C$33,DU20))))&gt;0,1,0))</f>
        <v>1</v>
      </c>
      <c r="DX20">
        <v>0</v>
      </c>
      <c r="DY20" t="str">
        <f>IFERROR(TRIM(LEFT(IF(ISNUMBER(SEARCH("]",'Other analyst '!Y20)),MID('Other analyst '!Y20,SEARCH("]",'Other analyst '!Y20)+1,200),'Other analyst '!Y20),IFERROR(SEARCH(" (",IF(ISNUMBER(SEARCH("]",'Other analyst '!Y20)),MID('Other analyst '!Y20,SEARCH("]",'Other analyst '!Y20)+1,200),'Other analyst '!Y20))-1,LEN('Other analyst '!Y20)))),"")</f>
        <v>Dillon Thieneman</v>
      </c>
      <c r="DZ20">
        <f>IF(DY20="",0,IF(OR(ISNUMBER(SEARCH(DY20,C20)),ISNUMBER(SEARCH(C20,DY20))),1,0))</f>
        <v>0</v>
      </c>
      <c r="EA20" cm="1">
        <f t="array" ref="EA20">IF(DY20="",0,IF(SUMPRODUCT((ISNUMBER(SEARCH(DY20,$C$2:$C$33))+ISNUMBER(SEARCH($C$2:$C$33,DY20))))&gt;0,1,0))</f>
        <v>1</v>
      </c>
      <c r="EB20">
        <v>0</v>
      </c>
      <c r="EC20" t="str">
        <f>IFERROR(TRIM(LEFT(IF(ISNUMBER(SEARCH("]",'Other analyst '!Z20)),MID('Other analyst '!Z20,SEARCH("]",'Other analyst '!Z20)+1,200),'Other analyst '!Z20),IFERROR(SEARCH(" (",IF(ISNUMBER(SEARCH("]",'Other analyst '!Z20)),MID('Other analyst '!Z20,SEARCH("]",'Other analyst '!Z20)+1,200),'Other analyst '!Z20))-1,LEN('Other analyst '!Z20)))),"")</f>
        <v>Kenyon Sadiq</v>
      </c>
      <c r="ED20">
        <f>IF(EC20="",0,IF(OR(ISNUMBER(SEARCH(EC20,C20)),ISNUMBER(SEARCH(C20,EC20))),1,0))</f>
        <v>0</v>
      </c>
      <c r="EE20" cm="1">
        <f t="array" ref="EE20">IF(EC20="",0,IF(SUMPRODUCT((ISNUMBER(SEARCH(EC20,$C$2:$C$33))+ISNUMBER(SEARCH($C$2:$C$33,EC20))))&gt;0,1,0))</f>
        <v>1</v>
      </c>
      <c r="EF20">
        <v>0</v>
      </c>
      <c r="EG20" t="str">
        <f>IFERROR(TRIM(LEFT(IF(ISNUMBER(SEARCH("]",'Other analyst '!AA20)),MID('Other analyst '!AA20,SEARCH("]",'Other analyst '!AA20)+1,200),'Other analyst '!AA20),IFERROR(SEARCH(" (",IF(ISNUMBER(SEARCH("]",'Other analyst '!AA20)),MID('Other analyst '!AA20,SEARCH("]",'Other analyst '!AA20)+1,200),'Other analyst '!AA20))-1,LEN('Other analyst '!AA20)))),"")</f>
        <v>Dillon Thieneman</v>
      </c>
      <c r="EH20">
        <f>IF(EG20="",0,IF(OR(ISNUMBER(SEARCH(EG20,C20)),ISNUMBER(SEARCH(C20,EG20))),1,0))</f>
        <v>0</v>
      </c>
      <c r="EI20" cm="1">
        <f t="array" ref="EI20">IF(EG20="",0,IF(SUMPRODUCT((ISNUMBER(SEARCH(EG20,$C$2:$C$33))+ISNUMBER(SEARCH($C$2:$C$33,EG20))))&gt;0,1,0))</f>
        <v>1</v>
      </c>
      <c r="EJ20">
        <v>0</v>
      </c>
      <c r="EK20">
        <f>K20+L20+M20+N20+O20+P20+AF20+AI20+AL20+AP20+AT20+AX20+BB20+BF20+BJ20+BN20+BR20+BV20+CD20+CH20+CL20+CP20+CT20+DV20+DZ20+ED20+EH20+DN20+DR20+CX20+DB20+DF20+DJ20</f>
        <v>0</v>
      </c>
    </row>
    <row r="21" spans="1:141">
      <c r="A21" s="30">
        <v>20</v>
      </c>
      <c r="B21" s="30" t="str">
        <f>'Actual nfl first round'!C21</f>
        <v>Eagles</v>
      </c>
      <c r="C21" s="31" t="str" cm="1">
        <f t="array" ref="C21">_xlfn.LET(_xlpm.actual, 'Actual nfl first round'!D21,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Makai Lemon</v>
      </c>
      <c r="D21" s="32" t="str">
        <f>'Colin''s Mock'!D21</f>
        <v>Akheem Mesidor</v>
      </c>
      <c r="E21" s="32" t="str">
        <f>_xlfn.LET(_xlpm.raw, 'Other analyst '!C21, _xlpm.s, IF(LEFT(_xlpm.raw,1)="[", MID(_xlpm.raw, FIND("] ",_xlpm.raw)+2, 999), _xlpm.raw), IFERROR(TRIM(LEFT(_xlpm.s, FIND(" (",_xlpm.s)-1)), _xlpm.raw))</f>
        <v>Keldric Faulk</v>
      </c>
      <c r="F21" s="32" t="str">
        <f>_xlfn.LET(_xlpm.raw, 'Other analyst '!D21, _xlpm.s, IF(LEFT(_xlpm.raw,1)="[", MID(_xlpm.raw, FIND("] ",_xlpm.raw)+2, 999), _xlpm.raw), IFERROR(TRIM(LEFT(_xlpm.s, FIND(" (",_xlpm.s)-1)), _xlpm.raw))</f>
        <v>Denzel Boston</v>
      </c>
      <c r="G21" s="32" t="str">
        <f>_xlfn.LET(_xlpm.raw, 'Other analyst '!E21, _xlpm.s, IF(LEFT(_xlpm.raw,1)="[", MID(_xlpm.raw, FIND("] ",_xlpm.raw)+2, 999), _xlpm.raw), IFERROR(TRIM(LEFT(_xlpm.s, FIND(" (",_xlpm.s)-1)), _xlpm.raw))</f>
        <v>Omar Cooper Jr.</v>
      </c>
      <c r="H21" s="32" t="str">
        <f>_xlfn.LET(_xlpm.raw, 'Other analyst '!F21, _xlpm.s, IF(LEFT(_xlpm.raw,1)="[", MID(_xlpm.raw, FIND("] ",_xlpm.raw)+2, 999), _xlpm.raw), IFERROR(TRIM(LEFT(_xlpm.s, FIND(" (",_xlpm.s)-1)), _xlpm.raw))</f>
        <v>Keldric Faulk</v>
      </c>
      <c r="I21" s="32" t="str">
        <f>_xlfn.LET(_xlpm.raw, 'Other analyst '!G21, _xlpm.s, IF(LEFT(_xlpm.raw,1)="[", MID(_xlpm.raw, FIND("] ",_xlpm.raw)+2, 999), _xlpm.raw), IFERROR(TRIM(LEFT(_xlpm.s, FIND(" (",_xlpm.s)-1)), _xlpm.raw))</f>
        <v>Chris Johnson</v>
      </c>
      <c r="K21" s="1">
        <f t="shared" si="0"/>
        <v>0</v>
      </c>
      <c r="L21" s="1">
        <f t="shared" si="1"/>
        <v>0</v>
      </c>
      <c r="M21" s="1">
        <f t="shared" si="2"/>
        <v>0</v>
      </c>
      <c r="N21" s="1">
        <f t="shared" si="3"/>
        <v>0</v>
      </c>
      <c r="O21" s="1">
        <f t="shared" si="4"/>
        <v>0</v>
      </c>
      <c r="P21" s="1">
        <f t="shared" si="5"/>
        <v>0</v>
      </c>
      <c r="Q21" s="1" cm="1">
        <f t="array" ref="Q21">IF(D21="", 0, IF(SUMPRODUCT(--(ISNUMBER(SEARCH(D21, $C$2:$C$33)) + ISNUMBER(SEARCH($C$2:$C$33, D21))))&gt;0, 1, 0))</f>
        <v>1</v>
      </c>
      <c r="R21" s="1" cm="1">
        <f t="array" ref="R21">IF(E21="", 0, IF(SUMPRODUCT(--(ISNUMBER(SEARCH(E21, $C$2:$C$33)) + ISNUMBER(SEARCH($C$2:$C$33, E21))))&gt;0, 1, 0))</f>
        <v>1</v>
      </c>
      <c r="S21" s="1" cm="1">
        <f t="array" ref="S21">IF(F21="", 0, IF(SUMPRODUCT(--(ISNUMBER(SEARCH(F21, $C$2:$C$33)) + ISNUMBER(SEARCH($C$2:$C$33, F21))))&gt;0, 1, 0))</f>
        <v>0</v>
      </c>
      <c r="T21" s="1" cm="1">
        <f t="array" ref="T21">IF(G21="", 0, IF(SUMPRODUCT(--(ISNUMBER(SEARCH(G21, $C$2:$C$33)) + ISNUMBER(SEARCH($C$2:$C$33, G21))))&gt;0, 1, 0))</f>
        <v>1</v>
      </c>
      <c r="U21" s="1" cm="1">
        <f t="array" ref="U21">IF(H21="", 0, IF(SUMPRODUCT(--(ISNUMBER(SEARCH(H21, $C$2:$C$33)) + ISNUMBER(SEARCH($C$2:$C$33, H21))))&gt;0, 1, 0))</f>
        <v>1</v>
      </c>
      <c r="V21" s="1" cm="1">
        <f t="array" ref="V21">IF(I21="", 0, IF(SUMPRODUCT(--(ISNUMBER(SEARCH(I21, $C$2:$C$33)) + ISNUMBER(SEARCH($C$2:$C$33, I21))))&gt;0, 1, 0))</f>
        <v>1</v>
      </c>
      <c r="W21" s="1" cm="1">
        <f t="array" ref="W21">IF(D21="",0,IF(SUMPRODUCT((ISNUMBER(SEARCH(D21,$C$2:$C$33))+ISNUMBER(SEARCH($C$2:$C$33,D21)))*($B$2:$B$33=$B21))&gt;0,1,0))</f>
        <v>0</v>
      </c>
      <c r="X21" s="1" cm="1">
        <f t="array" ref="X21">IF(E21="",0,IF(SUMPRODUCT((ISNUMBER(SEARCH(E21,$C$2:$C$33))+ISNUMBER(SEARCH($C$2:$C$33,E21)))*($B$2:$B$33=$B21))&gt;0,1,0))</f>
        <v>0</v>
      </c>
      <c r="Y21" s="1" cm="1">
        <f t="array" ref="Y21">IF(F21="",0,IF(SUMPRODUCT((ISNUMBER(SEARCH(F21,$C$2:$C$33))+ISNUMBER(SEARCH($C$2:$C$33,F21)))*($B$2:$B$33=$B21))&gt;0,1,0))</f>
        <v>0</v>
      </c>
      <c r="Z21" s="1" cm="1">
        <f t="array" ref="Z21">IF(G21="",0,IF(SUMPRODUCT((ISNUMBER(SEARCH(G21,$C$2:$C$33))+ISNUMBER(SEARCH($C$2:$C$33,G21)))*($B$2:$B$33=$B21))&gt;0,1,0))</f>
        <v>0</v>
      </c>
      <c r="AA21" s="1" cm="1">
        <f t="array" ref="AA21">IF(H21="",0,IF(SUMPRODUCT((ISNUMBER(SEARCH(H21,$C$2:$C$33))+ISNUMBER(SEARCH($C$2:$C$33,H21)))*($B$2:$B$33=$B21))&gt;0,1,0))</f>
        <v>0</v>
      </c>
      <c r="AB21" s="1" cm="1">
        <f t="array" ref="AB21">IF(I21="",0,IF(SUMPRODUCT((ISNUMBER(SEARCH(I21,$C$2:$C$33))+ISNUMBER(SEARCH($C$2:$C$33,I21)))*($B$2:$B$33=$B21))&gt;0,1,0))</f>
        <v>0</v>
      </c>
      <c r="AC21" s="36" t="s">
        <v>97</v>
      </c>
      <c r="AD21" s="36" t="s">
        <v>79</v>
      </c>
      <c r="AE21" s="36" t="s">
        <v>89</v>
      </c>
      <c r="AF21">
        <f t="shared" si="6"/>
        <v>0</v>
      </c>
      <c r="AG21" cm="1">
        <f t="array" ref="AG21">IF(AC21="",0,IF(SUMPRODUCT((ISNUMBER(SEARCH(AC21,$C$2:$C$33))+ISNUMBER(SEARCH($C$2:$C$33,AC21))))&gt;0,1,0))</f>
        <v>1</v>
      </c>
      <c r="AH21" cm="1">
        <f t="array" ref="AH21">IF(AC21="",0,IF(SUMPRODUCT((ISNUMBER(SEARCH(AC21,$C$2:$C$33))+ISNUMBER(SEARCH($C$2:$C$33,AC21)))*($B$2:$B$33=$B21))&gt;0,1,0))</f>
        <v>0</v>
      </c>
      <c r="AI21">
        <f t="shared" si="7"/>
        <v>0</v>
      </c>
      <c r="AJ21" cm="1">
        <f t="array" ref="AJ21">IF(AD21="",0,IF(SUMPRODUCT((ISNUMBER(SEARCH(AD21,$C$2:$C$33))+ISNUMBER(SEARCH($C$2:$C$33,AD21))))&gt;0,1,0))</f>
        <v>1</v>
      </c>
      <c r="AK21" cm="1">
        <f t="array" ref="AK21">IF(AD21="",0,IF(SUMPRODUCT((ISNUMBER(SEARCH(AD21,$C$2:$C$33))+ISNUMBER(SEARCH($C$2:$C$33,AD21)))*($B$2:$B$33=$B21))&gt;0,1,0))</f>
        <v>0</v>
      </c>
      <c r="AL21">
        <f t="shared" si="8"/>
        <v>0</v>
      </c>
      <c r="AM21" cm="1">
        <f t="array" ref="AM21">IF(AE21="",0,IF(SUMPRODUCT((ISNUMBER(SEARCH(AE21,$C$2:$C$33))+ISNUMBER(SEARCH($C$2:$C$33,AE21))))&gt;0,1,0))</f>
        <v>1</v>
      </c>
      <c r="AN21" cm="1">
        <f t="array" ref="AN21">IF(AE21="",0,IF(SUMPRODUCT((ISNUMBER(SEARCH(AE21,$C$2:$C$33))+ISNUMBER(SEARCH($C$2:$C$33,AE21)))*($B$2:$B$33=$B21))&gt;0,1,0))</f>
        <v>0</v>
      </c>
      <c r="AO21" s="65" t="str" cm="1">
        <f t="array" ref="AO21">_xlfn.LET(_xlpm.raw,'Other analyst '!K21,_xlpm.mockNames,'Colin''s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Colton Hood</v>
      </c>
      <c r="AP21">
        <f>IF(OR(AO21="",AO21=0),0,IF(OR(ISNUMBER(SEARCH(AO21,$C21)),ISNUMBER(SEARCH($C21,AO21))),1,0))</f>
        <v>0</v>
      </c>
      <c r="AQ21" cm="1">
        <f t="array" ref="AQ21">IF(OR(AO21="",AO21=0),0,IF(SUMPRODUCT(--(ISNUMBER(SEARCH(AO21,$C$2:$C$33))+ISNUMBER(SEARCH($C$2:$C$33,AO21))))&gt;0,1,0))</f>
        <v>0</v>
      </c>
      <c r="AR21" cm="1">
        <f t="array" ref="AR21">IF(OR(AO21="",AO21=0),0,IF(SUMPRODUCT((ISNUMBER(SEARCH(AO21,$C$2:$C$33))+ISNUMBER(SEARCH($C$2:$C$33,AO21)))*($B$2:$B$33=$B21))&gt;0,1,0))</f>
        <v>0</v>
      </c>
      <c r="AS21" s="64" t="str" cm="1">
        <f t="array" ref="AS21">_xlfn.LET(_xlpm.raw,'Other analyst '!L21,_xlpm.mockNames,'Colin''s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Akheem Mesidor</v>
      </c>
      <c r="AT21">
        <f>IF(OR(AS21="",AS21=0),0,IF(OR(ISNUMBER(SEARCH(AS21,$C21)),ISNUMBER(SEARCH($C21,AS21))),1,0))</f>
        <v>0</v>
      </c>
      <c r="AU21" cm="1">
        <f t="array" ref="AU21">IF(OR(AS21="",AS21=0),0,IF(SUMPRODUCT(--(ISNUMBER(SEARCH(AS21,$C$2:$C$33))+ISNUMBER(SEARCH($C$2:$C$33,AS21))))&gt;0,1,0))</f>
        <v>1</v>
      </c>
      <c r="AV21" cm="1">
        <f t="array" ref="AV21">IF(OR(AS21="",AS21=0),0,IF(SUMPRODUCT((ISNUMBER(SEARCH(AS21,$C$2:$C$33))+ISNUMBER(SEARCH($C$2:$C$33,AS21)))*($B$2:$B$33=$B21))&gt;0,1,0))</f>
        <v>0</v>
      </c>
      <c r="AW21" s="65" t="str" cm="1">
        <f t="array" ref="AW21">_xlfn.LET(_xlpm.raw,'Other analyst '!M21,_xlpm.mockNames,'Colin''s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Colton Hood</v>
      </c>
      <c r="AX21">
        <f>IF(OR(AW21="",AW21=0),0,IF(OR(ISNUMBER(SEARCH(AW21,$C21)),ISNUMBER(SEARCH($C21,AW21))),1,0))</f>
        <v>0</v>
      </c>
      <c r="AY21" cm="1">
        <f t="array" ref="AY21">IF(OR(AW21="",AW21=0),0,IF(SUMPRODUCT(--(ISNUMBER(SEARCH(AW21,$C$2:$C$33))+ISNUMBER(SEARCH($C$2:$C$33,AW21))))&gt;0,1,0))</f>
        <v>0</v>
      </c>
      <c r="AZ21" cm="1">
        <f t="array" ref="AZ21">IF(OR(AW21="",AW21=0),0,IF(SUMPRODUCT((ISNUMBER(SEARCH(AW21,$C$2:$C$33))+ISNUMBER(SEARCH($C$2:$C$33,AW21)))*($B$2:$B$33=$B21))&gt;0,1,0))</f>
        <v>0</v>
      </c>
      <c r="BA21" s="65" t="str" cm="1">
        <f t="array" ref="BA21">_xlfn.LET(_xlpm.raw,'Other analyst '!N21,_xlpm.mockNames,'Colin''s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Jermod McCoy</v>
      </c>
      <c r="BB21">
        <f>IF(OR(BA21="",BA21=0),0,IF(OR(ISNUMBER(SEARCH(BA21,$C21)),ISNUMBER(SEARCH($C21,BA21))),1,0))</f>
        <v>0</v>
      </c>
      <c r="BC21" cm="1">
        <f t="array" ref="BC21">IF(OR(BA21="",BA21=0),0,IF(SUMPRODUCT(--(ISNUMBER(SEARCH(BA21,$C$2:$C$33))+ISNUMBER(SEARCH($C$2:$C$33,BA21))))&gt;0,1,0))</f>
        <v>0</v>
      </c>
      <c r="BD21" cm="1">
        <f t="array" ref="BD21">IF(OR(BA21="",BA21=0),0,IF(SUMPRODUCT((ISNUMBER(SEARCH(BA21,$C$2:$C$33))+ISNUMBER(SEARCH($C$2:$C$33,BA21)))*($B$2:$B$33=$B21))&gt;0,1,0))</f>
        <v>0</v>
      </c>
      <c r="BE21" s="65" t="str" cm="1">
        <f t="array" ref="BE21">_xlfn.LET(_xlpm.raw,'Other analyst '!O21,_xlpm.mockNames,'Colin''s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Avieon Terrell</v>
      </c>
      <c r="BF21">
        <f>IF(OR(BE21="",BE21=0),0,IF(OR(ISNUMBER(SEARCH(BE21,$C21)),ISNUMBER(SEARCH($C21,BE21))),1,0))</f>
        <v>0</v>
      </c>
      <c r="BG21" cm="1">
        <f t="array" ref="BG21">IF(OR(BE21="",BE21=0),0,IF(SUMPRODUCT(--(ISNUMBER(SEARCH(BE21,$C$2:$C$33))+ISNUMBER(SEARCH($C$2:$C$33,BE21))))&gt;0,1,0))</f>
        <v>0</v>
      </c>
      <c r="BH21" cm="1">
        <f t="array" ref="BH21">IF(OR(BE21="",BE21=0),0,IF(SUMPRODUCT((ISNUMBER(SEARCH(BE21,$C$2:$C$33))+ISNUMBER(SEARCH($C$2:$C$33,BE21)))*($B$2:$B$33=$B21))&gt;0,1,0))</f>
        <v>0</v>
      </c>
      <c r="BI21" s="65" t="str" cm="1">
        <f t="array" ref="BI21">_xlfn.LET(_xlpm.raw,'Other analyst '!P21,_xlpm.mockNames,'Colin''s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Jacob Rodriguez</v>
      </c>
      <c r="BJ21">
        <f>IF(OR(BI21="",BI21=0),0,IF(OR(ISNUMBER(SEARCH(BI21,$C21)),ISNUMBER(SEARCH($C21,BI21))),1,0))</f>
        <v>0</v>
      </c>
      <c r="BK21" cm="1">
        <f t="array" ref="BK21">IF(OR(BI21="",BI21=0),0,IF(SUMPRODUCT(--(ISNUMBER(SEARCH(BI21,$C$2:$C$33))+ISNUMBER(SEARCH($C$2:$C$33,BI21))))&gt;0,1,0))</f>
        <v>0</v>
      </c>
      <c r="BL21" cm="1">
        <f t="array" ref="BL21">IF(OR(BI21="",BI21=0),0,IF(SUMPRODUCT((ISNUMBER(SEARCH(BI21,$C$2:$C$33))+ISNUMBER(SEARCH($C$2:$C$33,BI21)))*($B$2:$B$33=$B21))&gt;0,1,0))</f>
        <v>0</v>
      </c>
      <c r="BM21" s="64" t="str" cm="1">
        <f t="array" ref="BM21">_xlfn.LET(_xlpm.raw,'Other analyst '!Q21,_xlpm.mockNames,'Colin''s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Malachi Lawrence</v>
      </c>
      <c r="BN21">
        <f>IF(OR(BM21="",BM21=0),0,IF(OR(ISNUMBER(SEARCH(BM21,$C21)),ISNUMBER(SEARCH($C21,BM21))),1,0))</f>
        <v>0</v>
      </c>
      <c r="BO21" cm="1">
        <f t="array" ref="BO21">IF(OR(BM21="",BM21=0),0,IF(SUMPRODUCT(--(ISNUMBER(SEARCH(BM21,$C$2:$C$33))+ISNUMBER(SEARCH($C$2:$C$33,BM21))))&gt;0,1,0))</f>
        <v>1</v>
      </c>
      <c r="BP21" cm="1">
        <f t="array" ref="BP21">IF(OR(BM21="",BM21=0),0,IF(SUMPRODUCT((ISNUMBER(SEARCH(BM21,$C$2:$C$33))+ISNUMBER(SEARCH($C$2:$C$33,BM21)))*($B$2:$B$33=$B21))&gt;0,1,0))</f>
        <v>0</v>
      </c>
      <c r="BQ21" s="64" t="str" cm="1">
        <f t="array" ref="BQ21">_xlfn.LET(_xlpm.raw,'Other analyst '!R21,_xlpm.mockNames,'Colin''s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Akheem Mesidor</v>
      </c>
      <c r="BR21">
        <f>IF(OR(BQ21="",BQ21=0),0,IF(OR(ISNUMBER(SEARCH(BQ21,$C21)),ISNUMBER(SEARCH($C21,BQ21))),1,0))</f>
        <v>0</v>
      </c>
      <c r="BS21" cm="1">
        <f t="array" ref="BS21">IF(OR(BQ21="",BQ21=0),0,IF(SUMPRODUCT(--(ISNUMBER(SEARCH(BQ21,$C$2:$C$33))+ISNUMBER(SEARCH($C$2:$C$33,BQ21))))&gt;0,1,0))</f>
        <v>1</v>
      </c>
      <c r="BT21" cm="1">
        <f t="array" ref="BT21">IF(OR(BQ21="",BQ21=0),0,IF(SUMPRODUCT((ISNUMBER(SEARCH(BQ21,$C$2:$C$33))+ISNUMBER(SEARCH($C$2:$C$33,BQ21)))*($B$2:$B$33=$B21))&gt;0,1,0))</f>
        <v>0</v>
      </c>
      <c r="BU21" s="76" t="str">
        <f>'Colin Mock wTrade'!D21</f>
        <v>Akheem Mesidor</v>
      </c>
      <c r="BV21">
        <f>IF(BU21="",0,IF(OR(ISNUMBER(SEARCH(BU21,C21)),ISNUMBER(SEARCH(C21,BU21))),1,0))</f>
        <v>0</v>
      </c>
      <c r="BW21" cm="1">
        <f t="array" ref="BW21">IF(BU21="",0,IF(SUMPRODUCT(--(ISNUMBER(SEARCH(BU21,$C$2:$C$33))+ISNUMBER(SEARCH($C$2:$C$33,BU21))))&gt;0,1,0))</f>
        <v>1</v>
      </c>
      <c r="BX21" cm="1">
        <f t="array" ref="BX21">IF(BU21="",0,IFERROR(IF(SUMPRODUCT((ISNUMBER(SEARCH(BU21,$C$2:$C$33))+ISNUMBER(SEARCH($C$2:$C$33,BU21)))*($B$2:$B$33=VLOOKUP('Colin Mock wTrade'!C21,$CA$1:$CB$32,2,FALSE)))&gt;0,1,0),0))</f>
        <v>0</v>
      </c>
      <c r="CA21" t="s">
        <v>78</v>
      </c>
      <c r="CB21" t="s">
        <v>429</v>
      </c>
      <c r="CC21" t="str">
        <f>'Other analyst '!S21</f>
        <v>Colton Hood</v>
      </c>
      <c r="CD21">
        <f t="shared" si="9"/>
        <v>0</v>
      </c>
      <c r="CE21" cm="1">
        <f t="array" ref="CE21">IF(CC21="",0,IF(SUMPRODUCT(--(ISNUMBER(SEARCH(CC21,$C$2:$C$33))+ISNUMBER(SEARCH($C$2:$C$33,CC21))))&gt;0,1,0))</f>
        <v>0</v>
      </c>
      <c r="CF21" cm="1">
        <f t="array" ref="CF21">IF(CC21="",0,IF(SUMPRODUCT((ISNUMBER(SEARCH(CC21,$C$2:$C$33))+ISNUMBER(SEARCH($C$2:$C$33,CC21)))*($B$2:$B$33=$B21))&gt;0,1,0))</f>
        <v>0</v>
      </c>
      <c r="CG21" t="str">
        <f>'Other analyst '!T21</f>
        <v>Omar Cooper Jr.</v>
      </c>
      <c r="CH21">
        <f t="shared" si="10"/>
        <v>0</v>
      </c>
      <c r="CI21" cm="1">
        <f t="array" ref="CI21">IF(CG21="",0,IF(SUMPRODUCT(--(ISNUMBER(SEARCH(CG21,$C$2:$C$33))+ISNUMBER(SEARCH($C$2:$C$33,CG21))))&gt;0,1,0))</f>
        <v>1</v>
      </c>
      <c r="CJ21" cm="1">
        <f t="array" ref="CJ21">IF(CG21="",0,IF(SUMPRODUCT((ISNUMBER(SEARCH(CG21,$C$2:$C$33))+ISNUMBER(SEARCH($C$2:$C$33,CG21)))*($B$2:$B$33=$B21))&gt;0,1,0))</f>
        <v>0</v>
      </c>
      <c r="CK21" t="str">
        <f>'Other analyst '!U21</f>
        <v>CJ Allen</v>
      </c>
      <c r="CL21">
        <f t="shared" si="11"/>
        <v>0</v>
      </c>
      <c r="CM21" cm="1">
        <f t="array" ref="CM21">IF(CK21="",0,IF(SUMPRODUCT(--(ISNUMBER(SEARCH(CK21,$C$2:$C$33))+ISNUMBER(SEARCH($C$2:$C$33,CK21))))&gt;0,1,0))</f>
        <v>0</v>
      </c>
      <c r="CN21" cm="1">
        <f t="array" ref="CN21">IF(CK21="",0,IF(SUMPRODUCT((ISNUMBER(SEARCH(CK21,$C$2:$C$33))+ISNUMBER(SEARCH($C$2:$C$33,CK21)))*($B$2:$B$33=$B21))&gt;0,1,0))</f>
        <v>0</v>
      </c>
      <c r="CO21" t="str">
        <f>'Other analyst '!V21</f>
        <v>David Bailey</v>
      </c>
      <c r="CP21">
        <f t="shared" si="12"/>
        <v>0</v>
      </c>
      <c r="CQ21" cm="1">
        <f t="array" ref="CQ21">IF(CO21="",0,IF(SUMPRODUCT(--(ISNUMBER(SEARCH(CO21,$C$2:$C$33))+ISNUMBER(SEARCH($C$2:$C$33,CO21))))&gt;0,1,0))</f>
        <v>1</v>
      </c>
      <c r="CR21" cm="1">
        <f t="array" ref="CR21">IF(CO21="",0,IF(SUMPRODUCT((ISNUMBER(SEARCH(CO21,$C$2:$C$33))+ISNUMBER(SEARCH($C$2:$C$33,CO21)))*($B$2:$B$33=$B21))&gt;0,1,0))</f>
        <v>0</v>
      </c>
      <c r="CS21" s="28" t="str">
        <f>'Other analyst '!W21</f>
        <v>Avieon Terrell</v>
      </c>
      <c r="CT21">
        <f t="shared" si="13"/>
        <v>0</v>
      </c>
      <c r="CU21" cm="1">
        <f t="array" ref="CU21">IF(CS21="",0,IF(SUMPRODUCT(--(ISNUMBER(SEARCH(CS21,$C$2:$C$33))+ISNUMBER(SEARCH($C$2:$C$33,CS21))))&gt;0,1,0))</f>
        <v>0</v>
      </c>
      <c r="CV21" cm="1">
        <f t="array" ref="CV21">IF(CS21="",0,IFERROR(IF(SUMPRODUCT((ISNUMBER(SEARCH(CS21,$C$2:$C$33))+ISNUMBER(SEARCH($C$2:$C$33,CS21)))*(ISNUMBER(SEARCH($B$2:$B$33,'Other analyst '!B21))+ISNUMBER(SEARCH('Other analyst '!B21,$B$2:$B$33))))&gt;0,1,0),0))</f>
        <v>0</v>
      </c>
      <c r="CW21" s="36" t="str">
        <f>'Other analyst '!AD21</f>
        <v>Chris Johnson</v>
      </c>
      <c r="CX21">
        <f t="shared" si="14"/>
        <v>0</v>
      </c>
      <c r="CY21" cm="1">
        <f t="array" ref="CY21">IF(CW21="",0,IF(SUMPRODUCT(--(ISNUMBER(SEARCH(CW21,$C$2:$C$33))+ISNUMBER(SEARCH($C$2:$C$33,CW21))))&gt;0,1,0))</f>
        <v>1</v>
      </c>
      <c r="CZ21" cm="1">
        <f t="array" ref="CZ21">IF(CW21="",0,IF(SUMPRODUCT((ISNUMBER(SEARCH(CW21,$C$2:$C$33))+ISNUMBER(SEARCH($C$2:$C$33,CW21)))*($B$2:$B$33=$B21))&gt;0,1,0))</f>
        <v>0</v>
      </c>
      <c r="DA21" s="28" t="str">
        <f>'Other analyst '!AE21</f>
        <v>C.J. Allen</v>
      </c>
      <c r="DB21">
        <f t="shared" si="15"/>
        <v>0</v>
      </c>
      <c r="DC21" cm="1">
        <f t="array" ref="DC21">IF(DA21="",0,IF(SUMPRODUCT(--(ISNUMBER(SEARCH(DA21,$C$2:$C$33))+ISNUMBER(SEARCH($C$2:$C$33,DA21))))&gt;0,1,0))</f>
        <v>0</v>
      </c>
      <c r="DD21" cm="1">
        <f t="array" ref="DD21">IF(DA21="",0,IF(SUMPRODUCT((ISNUMBER(SEARCH(DA21,$C$2:$C$33))+ISNUMBER(SEARCH($C$2:$C$33,DA21)))*($B$2:$B$33=$B21))&gt;0,1,0))</f>
        <v>0</v>
      </c>
      <c r="DE21" s="36" t="str">
        <f>'Other analyst '!AF21</f>
        <v>Keldric Faulk</v>
      </c>
      <c r="DF21">
        <f t="shared" si="16"/>
        <v>0</v>
      </c>
      <c r="DG21" cm="1">
        <f t="array" ref="DG21">IF(DE21="",0,IF(SUMPRODUCT(--(ISNUMBER(SEARCH(DE21,$C$2:$C$33))+ISNUMBER(SEARCH($C$2:$C$33,DE21))))&gt;0,1,0))</f>
        <v>1</v>
      </c>
      <c r="DH21" cm="1">
        <f t="array" ref="DH21">IF(DE21="",0,IF(SUMPRODUCT((ISNUMBER(SEARCH(DE21,$C$2:$C$33))+ISNUMBER(SEARCH($C$2:$C$33,DE21)))*($B$2:$B$33=$B21))&gt;0,1,0))</f>
        <v>0</v>
      </c>
      <c r="DI21" s="78" t="str">
        <f>'Other analyst '!AG21</f>
        <v>Chris Johnson</v>
      </c>
      <c r="DJ21">
        <f t="shared" si="17"/>
        <v>0</v>
      </c>
      <c r="DK21" cm="1">
        <f t="array" ref="DK21">IF(DI21="",0,IF(SUMPRODUCT(--(ISNUMBER(SEARCH(DI21,$C$2:$C$33))+ISNUMBER(SEARCH($C$2:$C$33,DI21))))&gt;0,1,0))</f>
        <v>1</v>
      </c>
      <c r="DL21" cm="1">
        <f t="array" ref="DL21">IF(DI21="",0,IF(SUMPRODUCT((ISNUMBER(SEARCH(DI21,$C$2:$C$33))+ISNUMBER(SEARCH($C$2:$C$33,DI21)))*($B$2:$B$33=$B21))&gt;0,1,0))</f>
        <v>0</v>
      </c>
      <c r="DM21" s="28" t="str">
        <f>'Other analyst '!AB21</f>
        <v>Denzel Boston</v>
      </c>
      <c r="DN21">
        <f t="shared" si="18"/>
        <v>0</v>
      </c>
      <c r="DO21" cm="1">
        <f t="array" ref="DO21">IF(DM21="",0,IF(SUMPRODUCT(--(ISNUMBER(SEARCH(DM21,$C$2:$C$33))+ISNUMBER(SEARCH($C$2:$C$33,DM21))))&gt;0,1,0))</f>
        <v>0</v>
      </c>
      <c r="DP21" cm="1">
        <f t="array" ref="DP21">IF(DM21="",0,IFERROR(IF(SUMPRODUCT((ISNUMBER(SEARCH(DM21,$C$2:$C$33))+ISNUMBER(SEARCH($C$2:$C$33,DM21)))*(ISNUMBER(SEARCH($B$2:$B$33,'Other analyst '!B21))+ISNUMBER(SEARCH('Other analyst '!B21,$B$2:$B$33))))&gt;0,1,0),0))</f>
        <v>0</v>
      </c>
      <c r="DQ21" s="36" t="str">
        <f>'Other analyst '!AC21</f>
        <v>Akheem Mesidor</v>
      </c>
      <c r="DR21">
        <f t="shared" si="19"/>
        <v>0</v>
      </c>
      <c r="DS21" cm="1">
        <f t="array" ref="DS21">IF(DQ21="",0,IF(SUMPRODUCT(--(ISNUMBER(SEARCH(DQ21,$C$2:$C$33))+ISNUMBER(SEARCH($C$2:$C$33,DQ21))))&gt;0,1,0))</f>
        <v>1</v>
      </c>
      <c r="DT21" cm="1">
        <f t="array" ref="DT21">IF(DQ21="",0,IFERROR(IF(SUMPRODUCT((ISNUMBER(SEARCH(DQ21,$C$2:$C$33))+ISNUMBER(SEARCH($C$2:$C$33,DQ21)))*(ISNUMBER(SEARCH($B$2:$B$33,'Other analyst '!B21))+ISNUMBER(SEARCH('Other analyst '!B21,$B$2:$B$33))))&gt;0,1,0),0))</f>
        <v>0</v>
      </c>
      <c r="DU21" t="str">
        <f>IFERROR(TRIM(LEFT(IF(ISNUMBER(SEARCH("]",'Other analyst '!X21)),MID('Other analyst '!X21,SEARCH("]",'Other analyst '!X21)+1,200),'Other analyst '!X21),IFERROR(SEARCH(" (",IF(ISNUMBER(SEARCH("]",'Other analyst '!X21)),MID('Other analyst '!X21,SEARCH("]",'Other analyst '!X21)+1,200),'Other analyst '!X21))-1,LEN('Other analyst '!X21)))),"")</f>
        <v>Keldric Faulk</v>
      </c>
      <c r="DV21">
        <f>IF(DU21="",0,IF(OR(ISNUMBER(SEARCH(DU21,C21)),ISNUMBER(SEARCH(C21,DU21))),1,0))</f>
        <v>0</v>
      </c>
      <c r="DW21" cm="1">
        <f t="array" ref="DW21">IF(DU21="",0,IF(SUMPRODUCT((ISNUMBER(SEARCH(DU21,$C$2:$C$33))+ISNUMBER(SEARCH($C$2:$C$33,DU21))))&gt;0,1,0))</f>
        <v>1</v>
      </c>
      <c r="DX21">
        <v>0</v>
      </c>
      <c r="DY21" t="str">
        <f>IFERROR(TRIM(LEFT(IF(ISNUMBER(SEARCH("]",'Other analyst '!Y21)),MID('Other analyst '!Y21,SEARCH("]",'Other analyst '!Y21)+1,200),'Other analyst '!Y21),IFERROR(SEARCH(" (",IF(ISNUMBER(SEARCH("]",'Other analyst '!Y21)),MID('Other analyst '!Y21,SEARCH("]",'Other analyst '!Y21)+1,200),'Other analyst '!Y21))-1,LEN('Other analyst '!Y21)))),"")</f>
        <v>C.J. Allen</v>
      </c>
      <c r="DZ21">
        <f>IF(DY21="",0,IF(OR(ISNUMBER(SEARCH(DY21,C21)),ISNUMBER(SEARCH(C21,DY21))),1,0))</f>
        <v>0</v>
      </c>
      <c r="EA21" cm="1">
        <f t="array" ref="EA21">IF(DY21="",0,IF(SUMPRODUCT((ISNUMBER(SEARCH(DY21,$C$2:$C$33))+ISNUMBER(SEARCH($C$2:$C$33,DY21))))&gt;0,1,0))</f>
        <v>0</v>
      </c>
      <c r="EB21">
        <v>0</v>
      </c>
      <c r="EC21" t="str">
        <f>IFERROR(TRIM(LEFT(IF(ISNUMBER(SEARCH("]",'Other analyst '!Z21)),MID('Other analyst '!Z21,SEARCH("]",'Other analyst '!Z21)+1,200),'Other analyst '!Z21),IFERROR(SEARCH(" (",IF(ISNUMBER(SEARCH("]",'Other analyst '!Z21)),MID('Other analyst '!Z21,SEARCH("]",'Other analyst '!Z21)+1,200),'Other analyst '!Z21))-1,LEN('Other analyst '!Z21)))),"")</f>
        <v>Jordyn Tyson</v>
      </c>
      <c r="ED21">
        <f>IF(EC21="",0,IF(OR(ISNUMBER(SEARCH(EC21,C21)),ISNUMBER(SEARCH(C21,EC21))),1,0))</f>
        <v>0</v>
      </c>
      <c r="EE21" cm="1">
        <f t="array" ref="EE21">IF(EC21="",0,IF(SUMPRODUCT((ISNUMBER(SEARCH(EC21,$C$2:$C$33))+ISNUMBER(SEARCH($C$2:$C$33,EC21))))&gt;0,1,0))</f>
        <v>1</v>
      </c>
      <c r="EF21">
        <v>0</v>
      </c>
      <c r="EG21" t="str">
        <f>IFERROR(TRIM(LEFT(IF(ISNUMBER(SEARCH("]",'Other analyst '!AA21)),MID('Other analyst '!AA21,SEARCH("]",'Other analyst '!AA21)+1,200),'Other analyst '!AA21),IFERROR(SEARCH(" (",IF(ISNUMBER(SEARCH("]",'Other analyst '!AA21)),MID('Other analyst '!AA21,SEARCH("]",'Other analyst '!AA21)+1,200),'Other analyst '!AA21))-1,LEN('Other analyst '!AA21)))),"")</f>
        <v>Malachi Lawrence</v>
      </c>
      <c r="EH21">
        <f>IF(EG21="",0,IF(OR(ISNUMBER(SEARCH(EG21,C21)),ISNUMBER(SEARCH(C21,EG21))),1,0))</f>
        <v>0</v>
      </c>
      <c r="EI21" cm="1">
        <f t="array" ref="EI21">IF(EG21="",0,IF(SUMPRODUCT((ISNUMBER(SEARCH(EG21,$C$2:$C$33))+ISNUMBER(SEARCH($C$2:$C$33,EG21))))&gt;0,1,0))</f>
        <v>1</v>
      </c>
      <c r="EJ21">
        <v>0</v>
      </c>
      <c r="EK21">
        <f>K21+L21+M21+N21+O21+P21+AF21+AI21+AL21+AP21+AT21+AX21+BB21+BF21+BJ21+BN21+BR21+BV21+CD21+CH21+CL21+CP21+CT21+DV21+DZ21+ED21+EH21+DN21+DR21+CX21+DB21+DF21+DJ21</f>
        <v>0</v>
      </c>
    </row>
    <row r="22" spans="1:141">
      <c r="A22" s="30">
        <v>21</v>
      </c>
      <c r="B22" s="30" t="str">
        <f>'Actual nfl first round'!C22</f>
        <v>Steelers</v>
      </c>
      <c r="C22" s="31" t="str" cm="1">
        <f t="array" ref="C22">_xlfn.LET(_xlpm.actual, 'Actual nfl first round'!D22,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Max Iheanachor</v>
      </c>
      <c r="D22" s="32" t="str">
        <f>'Colin''s Mock'!D22</f>
        <v>Ty Simpson</v>
      </c>
      <c r="E22" s="32" t="str">
        <f>_xlfn.LET(_xlpm.raw, 'Other analyst '!C22, _xlpm.s, IF(LEFT(_xlpm.raw,1)="[", MID(_xlpm.raw, FIND("] ",_xlpm.raw)+2, 999), _xlpm.raw), IFERROR(TRIM(LEFT(_xlpm.s, FIND(" (",_xlpm.s)-1)), _xlpm.raw))</f>
        <v>Max Iheanachor</v>
      </c>
      <c r="F22" s="32" t="str">
        <f>_xlfn.LET(_xlpm.raw, 'Other analyst '!D22, _xlpm.s, IF(LEFT(_xlpm.raw,1)="[", MID(_xlpm.raw, FIND("] ",_xlpm.raw)+2, 999), _xlpm.raw), IFERROR(TRIM(LEFT(_xlpm.s, FIND(" (",_xlpm.s)-1)), _xlpm.raw))</f>
        <v>Olaivavega Ioane</v>
      </c>
      <c r="G22" s="32" t="str">
        <f>_xlfn.LET(_xlpm.raw, 'Other analyst '!E22, _xlpm.s, IF(LEFT(_xlpm.raw,1)="[", MID(_xlpm.raw, FIND("] ",_xlpm.raw)+2, 999), _xlpm.raw), IFERROR(TRIM(LEFT(_xlpm.s, FIND(" (",_xlpm.s)-1)), _xlpm.raw))</f>
        <v>Monroe Freeling</v>
      </c>
      <c r="H22" s="32" t="str">
        <f>_xlfn.LET(_xlpm.raw, 'Other analyst '!F22, _xlpm.s, IF(LEFT(_xlpm.raw,1)="[", MID(_xlpm.raw, FIND("] ",_xlpm.raw)+2, 999), _xlpm.raw), IFERROR(TRIM(LEFT(_xlpm.s, FIND(" (",_xlpm.s)-1)), _xlpm.raw))</f>
        <v>Monroe Freeling</v>
      </c>
      <c r="I22" s="32" t="str">
        <f>_xlfn.LET(_xlpm.raw, 'Other analyst '!G22, _xlpm.s, IF(LEFT(_xlpm.raw,1)="[", MID(_xlpm.raw, FIND("] ",_xlpm.raw)+2, 999), _xlpm.raw), IFERROR(TRIM(LEFT(_xlpm.s, FIND(" (",_xlpm.s)-1)), _xlpm.raw))</f>
        <v>KC Concepcion</v>
      </c>
      <c r="K22" s="1">
        <f t="shared" si="0"/>
        <v>0</v>
      </c>
      <c r="L22" s="1">
        <f t="shared" si="1"/>
        <v>1</v>
      </c>
      <c r="M22" s="1">
        <f t="shared" si="2"/>
        <v>0</v>
      </c>
      <c r="N22" s="1">
        <f t="shared" si="3"/>
        <v>0</v>
      </c>
      <c r="O22" s="1">
        <f t="shared" si="4"/>
        <v>0</v>
      </c>
      <c r="P22" s="1">
        <f t="shared" si="5"/>
        <v>0</v>
      </c>
      <c r="Q22" s="1" cm="1">
        <f t="array" ref="Q22">IF(D22="", 0, IF(SUMPRODUCT(--(ISNUMBER(SEARCH(D22, $C$2:$C$33)) + ISNUMBER(SEARCH($C$2:$C$33, D22))))&gt;0, 1, 0))</f>
        <v>1</v>
      </c>
      <c r="R22" s="1" cm="1">
        <f t="array" ref="R22">IF(E22="", 0, IF(SUMPRODUCT(--(ISNUMBER(SEARCH(E22, $C$2:$C$33)) + ISNUMBER(SEARCH($C$2:$C$33, E22))))&gt;0, 1, 0))</f>
        <v>1</v>
      </c>
      <c r="S22" s="1" cm="1">
        <f t="array" ref="S22">IF(F22="", 0, IF(SUMPRODUCT(--(ISNUMBER(SEARCH(F22, $C$2:$C$33)) + ISNUMBER(SEARCH($C$2:$C$33, F22))))&gt;0, 1, 0))</f>
        <v>1</v>
      </c>
      <c r="T22" s="1" cm="1">
        <f t="array" ref="T22">IF(G22="", 0, IF(SUMPRODUCT(--(ISNUMBER(SEARCH(G22, $C$2:$C$33)) + ISNUMBER(SEARCH($C$2:$C$33, G22))))&gt;0, 1, 0))</f>
        <v>1</v>
      </c>
      <c r="U22" s="1" cm="1">
        <f t="array" ref="U22">IF(H22="", 0, IF(SUMPRODUCT(--(ISNUMBER(SEARCH(H22, $C$2:$C$33)) + ISNUMBER(SEARCH($C$2:$C$33, H22))))&gt;0, 1, 0))</f>
        <v>1</v>
      </c>
      <c r="V22" s="1" cm="1">
        <f t="array" ref="V22">IF(I22="", 0, IF(SUMPRODUCT(--(ISNUMBER(SEARCH(I22, $C$2:$C$33)) + ISNUMBER(SEARCH($C$2:$C$33, I22))))&gt;0, 1, 0))</f>
        <v>1</v>
      </c>
      <c r="W22" s="1" cm="1">
        <f t="array" ref="W22">IF(D22="",0,IF(SUMPRODUCT((ISNUMBER(SEARCH(D22,$C$2:$C$33))+ISNUMBER(SEARCH($C$2:$C$33,D22)))*($B$2:$B$33=$B22))&gt;0,1,0))</f>
        <v>0</v>
      </c>
      <c r="X22" s="1" cm="1">
        <f t="array" ref="X22">IF(E22="",0,IF(SUMPRODUCT((ISNUMBER(SEARCH(E22,$C$2:$C$33))+ISNUMBER(SEARCH($C$2:$C$33,E22)))*($B$2:$B$33=$B22))&gt;0,1,0))</f>
        <v>1</v>
      </c>
      <c r="Y22" s="1" cm="1">
        <f t="array" ref="Y22">IF(F22="",0,IF(SUMPRODUCT((ISNUMBER(SEARCH(F22,$C$2:$C$33))+ISNUMBER(SEARCH($C$2:$C$33,F22)))*($B$2:$B$33=$B22))&gt;0,1,0))</f>
        <v>0</v>
      </c>
      <c r="Z22" s="1" cm="1">
        <f t="array" ref="Z22">IF(G22="",0,IF(SUMPRODUCT((ISNUMBER(SEARCH(G22,$C$2:$C$33))+ISNUMBER(SEARCH($C$2:$C$33,G22)))*($B$2:$B$33=$B22))&gt;0,1,0))</f>
        <v>0</v>
      </c>
      <c r="AA22" s="1" cm="1">
        <f t="array" ref="AA22">IF(H22="",0,IF(SUMPRODUCT((ISNUMBER(SEARCH(H22,$C$2:$C$33))+ISNUMBER(SEARCH($C$2:$C$33,H22)))*($B$2:$B$33=$B22))&gt;0,1,0))</f>
        <v>0</v>
      </c>
      <c r="AB22" s="1" cm="1">
        <f t="array" ref="AB22">IF(I22="",0,IF(SUMPRODUCT((ISNUMBER(SEARCH(I22,$C$2:$C$33))+ISNUMBER(SEARCH($C$2:$C$33,I22)))*($B$2:$B$33=$B22))&gt;0,1,0))</f>
        <v>0</v>
      </c>
      <c r="AC22" s="36" t="s">
        <v>65</v>
      </c>
      <c r="AD22" s="36" t="s">
        <v>65</v>
      </c>
      <c r="AE22" s="36" t="s">
        <v>50</v>
      </c>
      <c r="AF22">
        <f t="shared" si="6"/>
        <v>0</v>
      </c>
      <c r="AG22" cm="1">
        <f t="array" ref="AG22">IF(AC22="",0,IF(SUMPRODUCT((ISNUMBER(SEARCH(AC22,$C$2:$C$33))+ISNUMBER(SEARCH($C$2:$C$33,AC22))))&gt;0,1,0))</f>
        <v>1</v>
      </c>
      <c r="AH22" cm="1">
        <f t="array" ref="AH22">IF(AC22="",0,IF(SUMPRODUCT((ISNUMBER(SEARCH(AC22,$C$2:$C$33))+ISNUMBER(SEARCH($C$2:$C$33,AC22)))*($B$2:$B$33=$B22))&gt;0,1,0))</f>
        <v>0</v>
      </c>
      <c r="AI22">
        <f t="shared" si="7"/>
        <v>0</v>
      </c>
      <c r="AJ22" cm="1">
        <f t="array" ref="AJ22">IF(AD22="",0,IF(SUMPRODUCT((ISNUMBER(SEARCH(AD22,$C$2:$C$33))+ISNUMBER(SEARCH($C$2:$C$33,AD22))))&gt;0,1,0))</f>
        <v>1</v>
      </c>
      <c r="AK22" cm="1">
        <f t="array" ref="AK22">IF(AD22="",0,IF(SUMPRODUCT((ISNUMBER(SEARCH(AD22,$C$2:$C$33))+ISNUMBER(SEARCH($C$2:$C$33,AD22)))*($B$2:$B$33=$B22))&gt;0,1,0))</f>
        <v>0</v>
      </c>
      <c r="AL22">
        <f t="shared" si="8"/>
        <v>0</v>
      </c>
      <c r="AM22" cm="1">
        <f t="array" ref="AM22">IF(AE22="",0,IF(SUMPRODUCT((ISNUMBER(SEARCH(AE22,$C$2:$C$33))+ISNUMBER(SEARCH($C$2:$C$33,AE22))))&gt;0,1,0))</f>
        <v>1</v>
      </c>
      <c r="AN22" cm="1">
        <f t="array" ref="AN22">IF(AE22="",0,IF(SUMPRODUCT((ISNUMBER(SEARCH(AE22,$C$2:$C$33))+ISNUMBER(SEARCH($C$2:$C$33,AE22)))*($B$2:$B$33=$B22))&gt;0,1,0))</f>
        <v>0</v>
      </c>
      <c r="AO22" s="64" t="str" cm="1">
        <f t="array" ref="AO22">_xlfn.LET(_xlpm.raw,'Other analyst '!K22,_xlpm.mockNames,'Colin''s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Malachi Lawrence</v>
      </c>
      <c r="AP22">
        <f>IF(OR(AO22="",AO22=0),0,IF(OR(ISNUMBER(SEARCH(AO22,$C22)),ISNUMBER(SEARCH($C22,AO22))),1,0))</f>
        <v>0</v>
      </c>
      <c r="AQ22" cm="1">
        <f t="array" ref="AQ22">IF(OR(AO22="",AO22=0),0,IF(SUMPRODUCT(--(ISNUMBER(SEARCH(AO22,$C$2:$C$33))+ISNUMBER(SEARCH($C$2:$C$33,AO22))))&gt;0,1,0))</f>
        <v>1</v>
      </c>
      <c r="AR22" cm="1">
        <f t="array" ref="AR22">IF(OR(AO22="",AO22=0),0,IF(SUMPRODUCT((ISNUMBER(SEARCH(AO22,$C$2:$C$33))+ISNUMBER(SEARCH($C$2:$C$33,AO22)))*($B$2:$B$33=$B22))&gt;0,1,0))</f>
        <v>0</v>
      </c>
      <c r="AS22" s="64" t="str" cm="1">
        <f t="array" ref="AS22">_xlfn.LET(_xlpm.raw,'Other analyst '!L22,_xlpm.mockNames,'Colin''s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Olaivavega Ioane</v>
      </c>
      <c r="AT22">
        <f>IF(OR(AS22="",AS22=0),0,IF(OR(ISNUMBER(SEARCH(AS22,$C22)),ISNUMBER(SEARCH($C22,AS22))),1,0))</f>
        <v>0</v>
      </c>
      <c r="AU22" cm="1">
        <f t="array" ref="AU22">IF(OR(AS22="",AS22=0),0,IF(SUMPRODUCT(--(ISNUMBER(SEARCH(AS22,$C$2:$C$33))+ISNUMBER(SEARCH($C$2:$C$33,AS22))))&gt;0,1,0))</f>
        <v>1</v>
      </c>
      <c r="AV22" cm="1">
        <f t="array" ref="AV22">IF(OR(AS22="",AS22=0),0,IF(SUMPRODUCT((ISNUMBER(SEARCH(AS22,$C$2:$C$33))+ISNUMBER(SEARCH($C$2:$C$33,AS22)))*($B$2:$B$33=$B22))&gt;0,1,0))</f>
        <v>0</v>
      </c>
      <c r="AW22" s="64" t="str" cm="1">
        <f t="array" ref="AW22">_xlfn.LET(_xlpm.raw,'Other analyst '!M22,_xlpm.mockNames,'Colin''s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Makai Lemon</v>
      </c>
      <c r="AX22">
        <f>IF(OR(AW22="",AW22=0),0,IF(OR(ISNUMBER(SEARCH(AW22,$C22)),ISNUMBER(SEARCH($C22,AW22))),1,0))</f>
        <v>0</v>
      </c>
      <c r="AY22" cm="1">
        <f t="array" ref="AY22">IF(OR(AW22="",AW22=0),0,IF(SUMPRODUCT(--(ISNUMBER(SEARCH(AW22,$C$2:$C$33))+ISNUMBER(SEARCH($C$2:$C$33,AW22))))&gt;0,1,0))</f>
        <v>1</v>
      </c>
      <c r="AZ22" cm="1">
        <f t="array" ref="AZ22">IF(OR(AW22="",AW22=0),0,IF(SUMPRODUCT((ISNUMBER(SEARCH(AW22,$C$2:$C$33))+ISNUMBER(SEARCH($C$2:$C$33,AW22)))*($B$2:$B$33=$B22))&gt;0,1,0))</f>
        <v>0</v>
      </c>
      <c r="BA22" s="65" t="str" cm="1">
        <f t="array" ref="BA22">_xlfn.LET(_xlpm.raw,'Other analyst '!N22,_xlpm.mockNames,'Colin''s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Denzel Boston</v>
      </c>
      <c r="BB22">
        <f>IF(OR(BA22="",BA22=0),0,IF(OR(ISNUMBER(SEARCH(BA22,$C22)),ISNUMBER(SEARCH($C22,BA22))),1,0))</f>
        <v>0</v>
      </c>
      <c r="BC22" cm="1">
        <f t="array" ref="BC22">IF(OR(BA22="",BA22=0),0,IF(SUMPRODUCT(--(ISNUMBER(SEARCH(BA22,$C$2:$C$33))+ISNUMBER(SEARCH($C$2:$C$33,BA22))))&gt;0,1,0))</f>
        <v>0</v>
      </c>
      <c r="BD22" cm="1">
        <f t="array" ref="BD22">IF(OR(BA22="",BA22=0),0,IF(SUMPRODUCT((ISNUMBER(SEARCH(BA22,$C$2:$C$33))+ISNUMBER(SEARCH($C$2:$C$33,BA22)))*($B$2:$B$33=$B22))&gt;0,1,0))</f>
        <v>0</v>
      </c>
      <c r="BE22" s="65" t="str" cm="1">
        <f t="array" ref="BE22">_xlfn.LET(_xlpm.raw,'Other analyst '!O22,_xlpm.mockNames,'Colin''s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Chase Bisontis</v>
      </c>
      <c r="BF22">
        <f>IF(OR(BE22="",BE22=0),0,IF(OR(ISNUMBER(SEARCH(BE22,$C22)),ISNUMBER(SEARCH($C22,BE22))),1,0))</f>
        <v>0</v>
      </c>
      <c r="BG22" cm="1">
        <f t="array" ref="BG22">IF(OR(BE22="",BE22=0),0,IF(SUMPRODUCT(--(ISNUMBER(SEARCH(BE22,$C$2:$C$33))+ISNUMBER(SEARCH($C$2:$C$33,BE22))))&gt;0,1,0))</f>
        <v>0</v>
      </c>
      <c r="BH22" cm="1">
        <f t="array" ref="BH22">IF(OR(BE22="",BE22=0),0,IF(SUMPRODUCT((ISNUMBER(SEARCH(BE22,$C$2:$C$33))+ISNUMBER(SEARCH($C$2:$C$33,BE22)))*($B$2:$B$33=$B22))&gt;0,1,0))</f>
        <v>0</v>
      </c>
      <c r="BI22" s="64" t="str" cm="1">
        <f t="array" ref="BI22">_xlfn.LET(_xlpm.raw,'Other analyst '!P22,_xlpm.mockNames,'Colin''s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Olaivavega Ioane</v>
      </c>
      <c r="BJ22">
        <f>IF(OR(BI22="",BI22=0),0,IF(OR(ISNUMBER(SEARCH(BI22,$C22)),ISNUMBER(SEARCH($C22,BI22))),1,0))</f>
        <v>0</v>
      </c>
      <c r="BK22" cm="1">
        <f t="array" ref="BK22">IF(OR(BI22="",BI22=0),0,IF(SUMPRODUCT(--(ISNUMBER(SEARCH(BI22,$C$2:$C$33))+ISNUMBER(SEARCH($C$2:$C$33,BI22))))&gt;0,1,0))</f>
        <v>1</v>
      </c>
      <c r="BL22" cm="1">
        <f t="array" ref="BL22">IF(OR(BI22="",BI22=0),0,IF(SUMPRODUCT((ISNUMBER(SEARCH(BI22,$C$2:$C$33))+ISNUMBER(SEARCH($C$2:$C$33,BI22)))*($B$2:$B$33=$B22))&gt;0,1,0))</f>
        <v>0</v>
      </c>
      <c r="BM22" s="64" t="str" cm="1">
        <f t="array" ref="BM22">_xlfn.LET(_xlpm.raw,'Other analyst '!Q22,_xlpm.mockNames,'Colin''s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Dillon Thieneman</v>
      </c>
      <c r="BN22">
        <f>IF(OR(BM22="",BM22=0),0,IF(OR(ISNUMBER(SEARCH(BM22,$C22)),ISNUMBER(SEARCH($C22,BM22))),1,0))</f>
        <v>0</v>
      </c>
      <c r="BO22" cm="1">
        <f t="array" ref="BO22">IF(OR(BM22="",BM22=0),0,IF(SUMPRODUCT(--(ISNUMBER(SEARCH(BM22,$C$2:$C$33))+ISNUMBER(SEARCH($C$2:$C$33,BM22))))&gt;0,1,0))</f>
        <v>1</v>
      </c>
      <c r="BP22" cm="1">
        <f t="array" ref="BP22">IF(OR(BM22="",BM22=0),0,IF(SUMPRODUCT((ISNUMBER(SEARCH(BM22,$C$2:$C$33))+ISNUMBER(SEARCH($C$2:$C$33,BM22)))*($B$2:$B$33=$B22))&gt;0,1,0))</f>
        <v>0</v>
      </c>
      <c r="BQ22" s="17" t="str" cm="1">
        <f t="array" ref="BQ22">_xlfn.LET(_xlpm.raw,'Other analyst '!R22,_xlpm.mockNames,'Colin''s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Max Iheanachor</v>
      </c>
      <c r="BR22">
        <f>IF(OR(BQ22="",BQ22=0),0,IF(OR(ISNUMBER(SEARCH(BQ22,$C22)),ISNUMBER(SEARCH($C22,BQ22))),1,0))</f>
        <v>1</v>
      </c>
      <c r="BS22" cm="1">
        <f t="array" ref="BS22">IF(OR(BQ22="",BQ22=0),0,IF(SUMPRODUCT(--(ISNUMBER(SEARCH(BQ22,$C$2:$C$33))+ISNUMBER(SEARCH($C$2:$C$33,BQ22))))&gt;0,1,0))</f>
        <v>1</v>
      </c>
      <c r="BT22" cm="1">
        <f t="array" ref="BT22">IF(OR(BQ22="",BQ22=0),0,IF(SUMPRODUCT((ISNUMBER(SEARCH(BQ22,$C$2:$C$33))+ISNUMBER(SEARCH($C$2:$C$33,BQ22)))*($B$2:$B$33=$B22))&gt;0,1,0))</f>
        <v>1</v>
      </c>
      <c r="BU22" s="76" t="str">
        <f>'Colin Mock wTrade'!D22</f>
        <v>Ty Simpson</v>
      </c>
      <c r="BV22">
        <f>IF(BU22="",0,IF(OR(ISNUMBER(SEARCH(BU22,C22)),ISNUMBER(SEARCH(C22,BU22))),1,0))</f>
        <v>0</v>
      </c>
      <c r="BW22" cm="1">
        <f t="array" ref="BW22">IF(BU22="",0,IF(SUMPRODUCT(--(ISNUMBER(SEARCH(BU22,$C$2:$C$33))+ISNUMBER(SEARCH($C$2:$C$33,BU22))))&gt;0,1,0))</f>
        <v>1</v>
      </c>
      <c r="BX22" cm="1">
        <f t="array" ref="BX22">IF(BU22="",0,IFERROR(IF(SUMPRODUCT((ISNUMBER(SEARCH(BU22,$C$2:$C$33))+ISNUMBER(SEARCH($C$2:$C$33,BU22)))*($B$2:$B$33=VLOOKUP('Colin Mock wTrade'!C22,$CA$1:$CB$32,2,FALSE)))&gt;0,1,0),0))</f>
        <v>0</v>
      </c>
      <c r="CA22" t="s">
        <v>81</v>
      </c>
      <c r="CB22" t="s">
        <v>698</v>
      </c>
      <c r="CC22" t="str">
        <f>'Other analyst '!S22</f>
        <v>KC Concepcion</v>
      </c>
      <c r="CD22">
        <f t="shared" si="9"/>
        <v>0</v>
      </c>
      <c r="CE22" cm="1">
        <f t="array" ref="CE22">IF(CC22="",0,IF(SUMPRODUCT(--(ISNUMBER(SEARCH(CC22,$C$2:$C$33))+ISNUMBER(SEARCH($C$2:$C$33,CC22))))&gt;0,1,0))</f>
        <v>1</v>
      </c>
      <c r="CF22" cm="1">
        <f t="array" ref="CF22">IF(CC22="",0,IF(SUMPRODUCT((ISNUMBER(SEARCH(CC22,$C$2:$C$33))+ISNUMBER(SEARCH($C$2:$C$33,CC22)))*($B$2:$B$33=$B22))&gt;0,1,0))</f>
        <v>0</v>
      </c>
      <c r="CG22" t="str">
        <f>'Other analyst '!T22</f>
        <v>Kadyn Proctor</v>
      </c>
      <c r="CH22">
        <f t="shared" si="10"/>
        <v>0</v>
      </c>
      <c r="CI22" cm="1">
        <f t="array" ref="CI22">IF(CG22="",0,IF(SUMPRODUCT(--(ISNUMBER(SEARCH(CG22,$C$2:$C$33))+ISNUMBER(SEARCH($C$2:$C$33,CG22))))&gt;0,1,0))</f>
        <v>1</v>
      </c>
      <c r="CJ22" cm="1">
        <f t="array" ref="CJ22">IF(CG22="",0,IF(SUMPRODUCT((ISNUMBER(SEARCH(CG22,$C$2:$C$33))+ISNUMBER(SEARCH($C$2:$C$33,CG22)))*($B$2:$B$33=$B22))&gt;0,1,0))</f>
        <v>0</v>
      </c>
      <c r="CK22" t="str">
        <f>'Other analyst '!U22</f>
        <v>Omar Cooper Jr.</v>
      </c>
      <c r="CL22">
        <f t="shared" si="11"/>
        <v>0</v>
      </c>
      <c r="CM22" cm="1">
        <f t="array" ref="CM22">IF(CK22="",0,IF(SUMPRODUCT(--(ISNUMBER(SEARCH(CK22,$C$2:$C$33))+ISNUMBER(SEARCH($C$2:$C$33,CK22))))&gt;0,1,0))</f>
        <v>1</v>
      </c>
      <c r="CN22" cm="1">
        <f t="array" ref="CN22">IF(CK22="",0,IF(SUMPRODUCT((ISNUMBER(SEARCH(CK22,$C$2:$C$33))+ISNUMBER(SEARCH($C$2:$C$33,CK22)))*($B$2:$B$33=$B22))&gt;0,1,0))</f>
        <v>0</v>
      </c>
      <c r="CO22" t="str">
        <f>'Other analyst '!V22</f>
        <v>Darian Mensah</v>
      </c>
      <c r="CP22">
        <f t="shared" si="12"/>
        <v>0</v>
      </c>
      <c r="CQ22" cm="1">
        <f t="array" ref="CQ22">IF(CO22="",0,IF(SUMPRODUCT(--(ISNUMBER(SEARCH(CO22,$C$2:$C$33))+ISNUMBER(SEARCH($C$2:$C$33,CO22))))&gt;0,1,0))</f>
        <v>0</v>
      </c>
      <c r="CR22" cm="1">
        <f t="array" ref="CR22">IF(CO22="",0,IF(SUMPRODUCT((ISNUMBER(SEARCH(CO22,$C$2:$C$33))+ISNUMBER(SEARCH($C$2:$C$33,CO22)))*($B$2:$B$33=$B22))&gt;0,1,0))</f>
        <v>0</v>
      </c>
      <c r="CS22" s="36" t="str">
        <f>'Other analyst '!W22</f>
        <v>Omar Cooper Jr.</v>
      </c>
      <c r="CT22">
        <f t="shared" si="13"/>
        <v>0</v>
      </c>
      <c r="CU22" cm="1">
        <f t="array" ref="CU22">IF(CS22="",0,IF(SUMPRODUCT(--(ISNUMBER(SEARCH(CS22,$C$2:$C$33))+ISNUMBER(SEARCH($C$2:$C$33,CS22))))&gt;0,1,0))</f>
        <v>1</v>
      </c>
      <c r="CV22" cm="1">
        <f t="array" ref="CV22">IF(CS22="",0,IFERROR(IF(SUMPRODUCT((ISNUMBER(SEARCH(CS22,$C$2:$C$33))+ISNUMBER(SEARCH($C$2:$C$33,CS22)))*(ISNUMBER(SEARCH($B$2:$B$33,'Other analyst '!B22))+ISNUMBER(SEARCH('Other analyst '!B22,$B$2:$B$33))))&gt;0,1,0),0))</f>
        <v>0</v>
      </c>
      <c r="CW22" s="36" t="str">
        <f>'Other analyst '!AD22</f>
        <v>Denzel Boston</v>
      </c>
      <c r="CX22">
        <f t="shared" si="14"/>
        <v>0</v>
      </c>
      <c r="CY22" cm="1">
        <f t="array" ref="CY22">IF(CW22="",0,IF(SUMPRODUCT(--(ISNUMBER(SEARCH(CW22,$C$2:$C$33))+ISNUMBER(SEARCH($C$2:$C$33,CW22))))&gt;0,1,0))</f>
        <v>0</v>
      </c>
      <c r="CZ22" cm="1">
        <f t="array" ref="CZ22">IF(CW22="",0,IF(SUMPRODUCT((ISNUMBER(SEARCH(CW22,$C$2:$C$33))+ISNUMBER(SEARCH($C$2:$C$33,CW22)))*($B$2:$B$33=$B22))&gt;0,1,0))</f>
        <v>0</v>
      </c>
      <c r="DA22" s="36" t="str">
        <f>'Other analyst '!AE22</f>
        <v>Omar Cooper Jr.</v>
      </c>
      <c r="DB22">
        <f t="shared" si="15"/>
        <v>0</v>
      </c>
      <c r="DC22" cm="1">
        <f t="array" ref="DC22">IF(DA22="",0,IF(SUMPRODUCT(--(ISNUMBER(SEARCH(DA22,$C$2:$C$33))+ISNUMBER(SEARCH($C$2:$C$33,DA22))))&gt;0,1,0))</f>
        <v>1</v>
      </c>
      <c r="DD22" cm="1">
        <f t="array" ref="DD22">IF(DA22="",0,IF(SUMPRODUCT((ISNUMBER(SEARCH(DA22,$C$2:$C$33))+ISNUMBER(SEARCH($C$2:$C$33,DA22)))*($B$2:$B$33=$B22))&gt;0,1,0))</f>
        <v>0</v>
      </c>
      <c r="DE22" s="36" t="str">
        <f>'Other analyst '!AF22</f>
        <v>Blake Miller</v>
      </c>
      <c r="DF22">
        <f t="shared" si="16"/>
        <v>0</v>
      </c>
      <c r="DG22" cm="1">
        <f t="array" ref="DG22">IF(DE22="",0,IF(SUMPRODUCT(--(ISNUMBER(SEARCH(DE22,$C$2:$C$33))+ISNUMBER(SEARCH($C$2:$C$33,DE22))))&gt;0,1,0))</f>
        <v>1</v>
      </c>
      <c r="DH22" cm="1">
        <f t="array" ref="DH22">IF(DE22="",0,IF(SUMPRODUCT((ISNUMBER(SEARCH(DE22,$C$2:$C$33))+ISNUMBER(SEARCH($C$2:$C$33,DE22)))*($B$2:$B$33=$B22))&gt;0,1,0))</f>
        <v>0</v>
      </c>
      <c r="DI22" s="36" t="str">
        <f>'Other analyst '!AG22</f>
        <v>Omar Cooper Jr.</v>
      </c>
      <c r="DJ22">
        <f t="shared" si="17"/>
        <v>0</v>
      </c>
      <c r="DK22" cm="1">
        <f t="array" ref="DK22">IF(DI22="",0,IF(SUMPRODUCT(--(ISNUMBER(SEARCH(DI22,$C$2:$C$33))+ISNUMBER(SEARCH($C$2:$C$33,DI22))))&gt;0,1,0))</f>
        <v>1</v>
      </c>
      <c r="DL22" cm="1">
        <f t="array" ref="DL22">IF(DI22="",0,IF(SUMPRODUCT((ISNUMBER(SEARCH(DI22,$C$2:$C$33))+ISNUMBER(SEARCH($C$2:$C$33,DI22)))*($B$2:$B$33=$B22))&gt;0,1,0))</f>
        <v>0</v>
      </c>
      <c r="DM22" s="36" t="str">
        <f>'Other analyst '!AB22</f>
        <v>Akheem Mesidor</v>
      </c>
      <c r="DN22">
        <f t="shared" si="18"/>
        <v>0</v>
      </c>
      <c r="DO22" cm="1">
        <f t="array" ref="DO22">IF(DM22="",0,IF(SUMPRODUCT(--(ISNUMBER(SEARCH(DM22,$C$2:$C$33))+ISNUMBER(SEARCH($C$2:$C$33,DM22))))&gt;0,1,0))</f>
        <v>1</v>
      </c>
      <c r="DP22" cm="1">
        <f t="array" ref="DP22">IF(DM22="",0,IFERROR(IF(SUMPRODUCT((ISNUMBER(SEARCH(DM22,$C$2:$C$33))+ISNUMBER(SEARCH($C$2:$C$33,DM22)))*(ISNUMBER(SEARCH($B$2:$B$33,'Other analyst '!B22))+ISNUMBER(SEARCH('Other analyst '!B22,$B$2:$B$33))))&gt;0,1,0),0))</f>
        <v>0</v>
      </c>
      <c r="DQ22" s="36" t="str">
        <f>'Other analyst '!AC22</f>
        <v>Monroe Freeling</v>
      </c>
      <c r="DR22">
        <f t="shared" si="19"/>
        <v>0</v>
      </c>
      <c r="DS22" cm="1">
        <f t="array" ref="DS22">IF(DQ22="",0,IF(SUMPRODUCT(--(ISNUMBER(SEARCH(DQ22,$C$2:$C$33))+ISNUMBER(SEARCH($C$2:$C$33,DQ22))))&gt;0,1,0))</f>
        <v>1</v>
      </c>
      <c r="DT22" cm="1">
        <f t="array" ref="DT22">IF(DQ22="",0,IFERROR(IF(SUMPRODUCT((ISNUMBER(SEARCH(DQ22,$C$2:$C$33))+ISNUMBER(SEARCH($C$2:$C$33,DQ22)))*(ISNUMBER(SEARCH($B$2:$B$33,'Other analyst '!B22))+ISNUMBER(SEARCH('Other analyst '!B22,$B$2:$B$33))))&gt;0,1,0),0))</f>
        <v>0</v>
      </c>
      <c r="DU22" t="str">
        <f>IFERROR(TRIM(LEFT(IF(ISNUMBER(SEARCH("]",'Other analyst '!X22)),MID('Other analyst '!X22,SEARCH("]",'Other analyst '!X22)+1,200),'Other analyst '!X22),IFERROR(SEARCH(" (",IF(ISNUMBER(SEARCH("]",'Other analyst '!X22)),MID('Other analyst '!X22,SEARCH("]",'Other analyst '!X22)+1,200),'Other analyst '!X22))-1,LEN('Other analyst '!X22)))),"")</f>
        <v>Omar Cooper Jr.</v>
      </c>
      <c r="DV22">
        <f>IF(DU22="",0,IF(OR(ISNUMBER(SEARCH(DU22,C22)),ISNUMBER(SEARCH(C22,DU22))),1,0))</f>
        <v>0</v>
      </c>
      <c r="DW22" cm="1">
        <f t="array" ref="DW22">IF(DU22="",0,IF(SUMPRODUCT((ISNUMBER(SEARCH(DU22,$C$2:$C$33))+ISNUMBER(SEARCH($C$2:$C$33,DU22))))&gt;0,1,0))</f>
        <v>1</v>
      </c>
      <c r="DX22">
        <v>0</v>
      </c>
      <c r="DY22" t="str">
        <f>IFERROR(TRIM(LEFT(IF(ISNUMBER(SEARCH("]",'Other analyst '!Y22)),MID('Other analyst '!Y22,SEARCH("]",'Other analyst '!Y22)+1,200),'Other analyst '!Y22),IFERROR(SEARCH(" (",IF(ISNUMBER(SEARCH("]",'Other analyst '!Y22)),MID('Other analyst '!Y22,SEARCH("]",'Other analyst '!Y22)+1,200),'Other analyst '!Y22))-1,LEN('Other analyst '!Y22)))),"")</f>
        <v>Olaivavega Ioane</v>
      </c>
      <c r="DZ22">
        <f>IF(DY22="",0,IF(OR(ISNUMBER(SEARCH(DY22,C22)),ISNUMBER(SEARCH(C22,DY22))),1,0))</f>
        <v>0</v>
      </c>
      <c r="EA22" cm="1">
        <f t="array" ref="EA22">IF(DY22="",0,IF(SUMPRODUCT((ISNUMBER(SEARCH(DY22,$C$2:$C$33))+ISNUMBER(SEARCH($C$2:$C$33,DY22))))&gt;0,1,0))</f>
        <v>1</v>
      </c>
      <c r="EB22">
        <v>0</v>
      </c>
      <c r="EC22" t="str">
        <f>IFERROR(TRIM(LEFT(IF(ISNUMBER(SEARCH("]",'Other analyst '!Z22)),MID('Other analyst '!Z22,SEARCH("]",'Other analyst '!Z22)+1,200),'Other analyst '!Z22),IFERROR(SEARCH(" (",IF(ISNUMBER(SEARCH("]",'Other analyst '!Z22)),MID('Other analyst '!Z22,SEARCH("]",'Other analyst '!Z22)+1,200),'Other analyst '!Z22))-1,LEN('Other analyst '!Z22)))),"")</f>
        <v>Olaivavega Ioane</v>
      </c>
      <c r="ED22">
        <f>IF(EC22="",0,IF(OR(ISNUMBER(SEARCH(EC22,C22)),ISNUMBER(SEARCH(C22,EC22))),1,0))</f>
        <v>0</v>
      </c>
      <c r="EE22" cm="1">
        <f t="array" ref="EE22">IF(EC22="",0,IF(SUMPRODUCT((ISNUMBER(SEARCH(EC22,$C$2:$C$33))+ISNUMBER(SEARCH($C$2:$C$33,EC22))))&gt;0,1,0))</f>
        <v>1</v>
      </c>
      <c r="EF22">
        <v>0</v>
      </c>
      <c r="EG22" t="str">
        <f>IFERROR(TRIM(LEFT(IF(ISNUMBER(SEARCH("]",'Other analyst '!AA22)),MID('Other analyst '!AA22,SEARCH("]",'Other analyst '!AA22)+1,200),'Other analyst '!AA22),IFERROR(SEARCH(" (",IF(ISNUMBER(SEARCH("]",'Other analyst '!AA22)),MID('Other analyst '!AA22,SEARCH("]",'Other analyst '!AA22)+1,200),'Other analyst '!AA22))-1,LEN('Other analyst '!AA22)))),"")</f>
        <v>Blake Miller</v>
      </c>
      <c r="EH22">
        <f>IF(EG22="",0,IF(OR(ISNUMBER(SEARCH(EG22,C22)),ISNUMBER(SEARCH(C22,EG22))),1,0))</f>
        <v>0</v>
      </c>
      <c r="EI22" cm="1">
        <f t="array" ref="EI22">IF(EG22="",0,IF(SUMPRODUCT((ISNUMBER(SEARCH(EG22,$C$2:$C$33))+ISNUMBER(SEARCH($C$2:$C$33,EG22))))&gt;0,1,0))</f>
        <v>1</v>
      </c>
      <c r="EJ22">
        <v>0</v>
      </c>
      <c r="EK22">
        <f>K22+L22+M22+N22+O22+P22+AF22+AI22+AL22+AP22+AT22+AX22+BB22+BF22+BJ22+BN22+BR22+BV22+CD22+CH22+CL22+CP22+CT22+DV22+DZ22+ED22+EH22+DN22+DR22+CX22+DB22+DF22+DJ22</f>
        <v>2</v>
      </c>
    </row>
    <row r="23" spans="1:141">
      <c r="A23" s="30">
        <v>22</v>
      </c>
      <c r="B23" s="30" t="str">
        <f>'Actual nfl first round'!C23</f>
        <v>Chargers</v>
      </c>
      <c r="C23" s="31" t="str" cm="1">
        <f t="array" ref="C23">_xlfn.LET(_xlpm.actual, 'Actual nfl first round'!D23,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Akheem Mesidor</v>
      </c>
      <c r="D23" s="32" t="str">
        <f>'Colin''s Mock'!D23</f>
        <v>Kadyn Proctor</v>
      </c>
      <c r="E23" s="32" t="str">
        <f>_xlfn.LET(_xlpm.raw, 'Other analyst '!C23, _xlpm.s, IF(LEFT(_xlpm.raw,1)="[", MID(_xlpm.raw, FIND("] ",_xlpm.raw)+2, 999), _xlpm.raw), IFERROR(TRIM(LEFT(_xlpm.s, FIND(" (",_xlpm.s)-1)), _xlpm.raw))</f>
        <v>Akheem Mesidor</v>
      </c>
      <c r="F23" s="32" t="str">
        <f>_xlfn.LET(_xlpm.raw, 'Other analyst '!D23, _xlpm.s, IF(LEFT(_xlpm.raw,1)="[", MID(_xlpm.raw, FIND("] ",_xlpm.raw)+2, 999), _xlpm.raw), IFERROR(TRIM(LEFT(_xlpm.s, FIND(" (",_xlpm.s)-1)), _xlpm.raw))</f>
        <v>Peter Woods</v>
      </c>
      <c r="G23" s="32" t="str">
        <f>_xlfn.LET(_xlpm.raw, 'Other analyst '!E23, _xlpm.s, IF(LEFT(_xlpm.raw,1)="[", MID(_xlpm.raw, FIND("] ",_xlpm.raw)+2, 999), _xlpm.raw), IFERROR(TRIM(LEFT(_xlpm.s, FIND(" (",_xlpm.s)-1)), _xlpm.raw))</f>
        <v>Keldric Faulk</v>
      </c>
      <c r="H23" s="32" t="str">
        <f>_xlfn.LET(_xlpm.raw, 'Other analyst '!F23, _xlpm.s, IF(LEFT(_xlpm.raw,1)="[", MID(_xlpm.raw, FIND("] ",_xlpm.raw)+2, 999), _xlpm.raw), IFERROR(TRIM(LEFT(_xlpm.s, FIND(" (",_xlpm.s)-1)), _xlpm.raw))</f>
        <v>Jermod McCoy</v>
      </c>
      <c r="I23" s="32" t="str">
        <f>_xlfn.LET(_xlpm.raw, 'Other analyst '!G23, _xlpm.s, IF(LEFT(_xlpm.raw,1)="[", MID(_xlpm.raw, FIND("] ",_xlpm.raw)+2, 999), _xlpm.raw), IFERROR(TRIM(LEFT(_xlpm.s, FIND(" (",_xlpm.s)-1)), _xlpm.raw))</f>
        <v>Akheem Mesidor</v>
      </c>
      <c r="K23" s="1">
        <f t="shared" si="0"/>
        <v>0</v>
      </c>
      <c r="L23" s="1">
        <f t="shared" si="1"/>
        <v>1</v>
      </c>
      <c r="M23" s="1">
        <f t="shared" si="2"/>
        <v>0</v>
      </c>
      <c r="N23" s="1">
        <f t="shared" si="3"/>
        <v>0</v>
      </c>
      <c r="O23" s="1">
        <f t="shared" si="4"/>
        <v>0</v>
      </c>
      <c r="P23" s="1">
        <f t="shared" si="5"/>
        <v>1</v>
      </c>
      <c r="Q23" s="1" cm="1">
        <f t="array" ref="Q23">IF(D23="", 0, IF(SUMPRODUCT(--(ISNUMBER(SEARCH(D23, $C$2:$C$33)) + ISNUMBER(SEARCH($C$2:$C$33, D23))))&gt;0, 1, 0))</f>
        <v>1</v>
      </c>
      <c r="R23" s="1" cm="1">
        <f t="array" ref="R23">IF(E23="", 0, IF(SUMPRODUCT(--(ISNUMBER(SEARCH(E23, $C$2:$C$33)) + ISNUMBER(SEARCH($C$2:$C$33, E23))))&gt;0, 1, 0))</f>
        <v>1</v>
      </c>
      <c r="S23" s="1" cm="1">
        <f t="array" ref="S23">IF(F23="", 0, IF(SUMPRODUCT(--(ISNUMBER(SEARCH(F23, $C$2:$C$33)) + ISNUMBER(SEARCH($C$2:$C$33, F23))))&gt;0, 1, 0))</f>
        <v>1</v>
      </c>
      <c r="T23" s="1" cm="1">
        <f t="array" ref="T23">IF(G23="", 0, IF(SUMPRODUCT(--(ISNUMBER(SEARCH(G23, $C$2:$C$33)) + ISNUMBER(SEARCH($C$2:$C$33, G23))))&gt;0, 1, 0))</f>
        <v>1</v>
      </c>
      <c r="U23" s="1" cm="1">
        <f t="array" ref="U23">IF(H23="", 0, IF(SUMPRODUCT(--(ISNUMBER(SEARCH(H23, $C$2:$C$33)) + ISNUMBER(SEARCH($C$2:$C$33, H23))))&gt;0, 1, 0))</f>
        <v>0</v>
      </c>
      <c r="V23" s="1" cm="1">
        <f t="array" ref="V23">IF(I23="", 0, IF(SUMPRODUCT(--(ISNUMBER(SEARCH(I23, $C$2:$C$33)) + ISNUMBER(SEARCH($C$2:$C$33, I23))))&gt;0, 1, 0))</f>
        <v>1</v>
      </c>
      <c r="W23" s="1" cm="1">
        <f t="array" ref="W23">IF(D23="",0,IF(SUMPRODUCT((ISNUMBER(SEARCH(D23,$C$2:$C$33))+ISNUMBER(SEARCH($C$2:$C$33,D23)))*($B$2:$B$33=$B23))&gt;0,1,0))</f>
        <v>0</v>
      </c>
      <c r="X23" s="1" cm="1">
        <f t="array" ref="X23">IF(E23="",0,IF(SUMPRODUCT((ISNUMBER(SEARCH(E23,$C$2:$C$33))+ISNUMBER(SEARCH($C$2:$C$33,E23)))*($B$2:$B$33=$B23))&gt;0,1,0))</f>
        <v>1</v>
      </c>
      <c r="Y23" s="1" cm="1">
        <f t="array" ref="Y23">IF(F23="",0,IF(SUMPRODUCT((ISNUMBER(SEARCH(F23,$C$2:$C$33))+ISNUMBER(SEARCH($C$2:$C$33,F23)))*($B$2:$B$33=$B23))&gt;0,1,0))</f>
        <v>0</v>
      </c>
      <c r="Z23" s="1" cm="1">
        <f t="array" ref="Z23">IF(G23="",0,IF(SUMPRODUCT((ISNUMBER(SEARCH(G23,$C$2:$C$33))+ISNUMBER(SEARCH($C$2:$C$33,G23)))*($B$2:$B$33=$B23))&gt;0,1,0))</f>
        <v>0</v>
      </c>
      <c r="AA23" s="1" cm="1">
        <f t="array" ref="AA23">IF(H23="",0,IF(SUMPRODUCT((ISNUMBER(SEARCH(H23,$C$2:$C$33))+ISNUMBER(SEARCH($C$2:$C$33,H23)))*($B$2:$B$33=$B23))&gt;0,1,0))</f>
        <v>0</v>
      </c>
      <c r="AB23" s="1" cm="1">
        <f t="array" ref="AB23">IF(I23="",0,IF(SUMPRODUCT((ISNUMBER(SEARCH(I23,$C$2:$C$33))+ISNUMBER(SEARCH($C$2:$C$33,I23)))*($B$2:$B$33=$B23))&gt;0,1,0))</f>
        <v>1</v>
      </c>
      <c r="AC23" s="36" t="s">
        <v>50</v>
      </c>
      <c r="AD23" s="28" t="s">
        <v>599</v>
      </c>
      <c r="AE23" s="36" t="s">
        <v>97</v>
      </c>
      <c r="AF23">
        <f t="shared" si="6"/>
        <v>0</v>
      </c>
      <c r="AG23" cm="1">
        <f t="array" ref="AG23">IF(AC23="",0,IF(SUMPRODUCT((ISNUMBER(SEARCH(AC23,$C$2:$C$33))+ISNUMBER(SEARCH($C$2:$C$33,AC23))))&gt;0,1,0))</f>
        <v>1</v>
      </c>
      <c r="AH23" cm="1">
        <f t="array" ref="AH23">IF(AC23="",0,IF(SUMPRODUCT((ISNUMBER(SEARCH(AC23,$C$2:$C$33))+ISNUMBER(SEARCH($C$2:$C$33,AC23)))*($B$2:$B$33=$B23))&gt;0,1,0))</f>
        <v>0</v>
      </c>
      <c r="AI23">
        <f t="shared" si="7"/>
        <v>0</v>
      </c>
      <c r="AJ23" cm="1">
        <f t="array" ref="AJ23">IF(AD23="",0,IF(SUMPRODUCT((ISNUMBER(SEARCH(AD23,$C$2:$C$33))+ISNUMBER(SEARCH($C$2:$C$33,AD23))))&gt;0,1,0))</f>
        <v>0</v>
      </c>
      <c r="AK23" cm="1">
        <f t="array" ref="AK23">IF(AD23="",0,IF(SUMPRODUCT((ISNUMBER(SEARCH(AD23,$C$2:$C$33))+ISNUMBER(SEARCH($C$2:$C$33,AD23)))*($B$2:$B$33=$B23))&gt;0,1,0))</f>
        <v>0</v>
      </c>
      <c r="AL23">
        <f t="shared" si="8"/>
        <v>0</v>
      </c>
      <c r="AM23" cm="1">
        <f t="array" ref="AM23">IF(AE23="",0,IF(SUMPRODUCT((ISNUMBER(SEARCH(AE23,$C$2:$C$33))+ISNUMBER(SEARCH($C$2:$C$33,AE23))))&gt;0,1,0))</f>
        <v>1</v>
      </c>
      <c r="AN23" cm="1">
        <f t="array" ref="AN23">IF(AE23="",0,IF(SUMPRODUCT((ISNUMBER(SEARCH(AE23,$C$2:$C$33))+ISNUMBER(SEARCH($C$2:$C$33,AE23)))*($B$2:$B$33=$B23))&gt;0,1,0))</f>
        <v>0</v>
      </c>
      <c r="AO23" s="17" t="str" cm="1">
        <f t="array" ref="AO23">_xlfn.LET(_xlpm.raw,'Other analyst '!K23,_xlpm.mockNames,'Colin''s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Akheem Mesidor</v>
      </c>
      <c r="AP23">
        <f>IF(OR(AO23="",AO23=0),0,IF(OR(ISNUMBER(SEARCH(AO23,$C23)),ISNUMBER(SEARCH($C23,AO23))),1,0))</f>
        <v>1</v>
      </c>
      <c r="AQ23" cm="1">
        <f t="array" ref="AQ23">IF(OR(AO23="",AO23=0),0,IF(SUMPRODUCT(--(ISNUMBER(SEARCH(AO23,$C$2:$C$33))+ISNUMBER(SEARCH($C$2:$C$33,AO23))))&gt;0,1,0))</f>
        <v>1</v>
      </c>
      <c r="AR23" cm="1">
        <f t="array" ref="AR23">IF(OR(AO23="",AO23=0),0,IF(SUMPRODUCT((ISNUMBER(SEARCH(AO23,$C$2:$C$33))+ISNUMBER(SEARCH($C$2:$C$33,AO23)))*($B$2:$B$33=$B23))&gt;0,1,0))</f>
        <v>1</v>
      </c>
      <c r="AS23" s="64" t="str" cm="1">
        <f t="array" ref="AS23">_xlfn.LET(_xlpm.raw,'Other analyst '!L23,_xlpm.mockNames,'Colin''s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Peter Woods</v>
      </c>
      <c r="AT23">
        <f>IF(OR(AS23="",AS23=0),0,IF(OR(ISNUMBER(SEARCH(AS23,$C23)),ISNUMBER(SEARCH($C23,AS23))),1,0))</f>
        <v>0</v>
      </c>
      <c r="AU23" cm="1">
        <f t="array" ref="AU23">IF(OR(AS23="",AS23=0),0,IF(SUMPRODUCT(--(ISNUMBER(SEARCH(AS23,$C$2:$C$33))+ISNUMBER(SEARCH($C$2:$C$33,AS23))))&gt;0,1,0))</f>
        <v>1</v>
      </c>
      <c r="AV23" cm="1">
        <f t="array" ref="AV23">IF(OR(AS23="",AS23=0),0,IF(SUMPRODUCT((ISNUMBER(SEARCH(AS23,$C$2:$C$33))+ISNUMBER(SEARCH($C$2:$C$33,AS23)))*($B$2:$B$33=$B23))&gt;0,1,0))</f>
        <v>0</v>
      </c>
      <c r="AW23" s="64" t="str" cm="1">
        <f t="array" ref="AW23">_xlfn.LET(_xlpm.raw,'Other analyst '!M23,_xlpm.mockNames,'Colin''s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Chris Johnson</v>
      </c>
      <c r="AX23">
        <f>IF(OR(AW23="",AW23=0),0,IF(OR(ISNUMBER(SEARCH(AW23,$C23)),ISNUMBER(SEARCH($C23,AW23))),1,0))</f>
        <v>0</v>
      </c>
      <c r="AY23" cm="1">
        <f t="array" ref="AY23">IF(OR(AW23="",AW23=0),0,IF(SUMPRODUCT(--(ISNUMBER(SEARCH(AW23,$C$2:$C$33))+ISNUMBER(SEARCH($C$2:$C$33,AW23))))&gt;0,1,0))</f>
        <v>1</v>
      </c>
      <c r="AZ23" cm="1">
        <f t="array" ref="AZ23">IF(OR(AW23="",AW23=0),0,IF(SUMPRODUCT((ISNUMBER(SEARCH(AW23,$C$2:$C$33))+ISNUMBER(SEARCH($C$2:$C$33,AW23)))*($B$2:$B$33=$B23))&gt;0,1,0))</f>
        <v>0</v>
      </c>
      <c r="BA23" s="17" t="str" cm="1">
        <f t="array" ref="BA23">_xlfn.LET(_xlpm.raw,'Other analyst '!N23,_xlpm.mockNames,'Colin''s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Akheem Mesidor</v>
      </c>
      <c r="BB23">
        <f>IF(OR(BA23="",BA23=0),0,IF(OR(ISNUMBER(SEARCH(BA23,$C23)),ISNUMBER(SEARCH($C23,BA23))),1,0))</f>
        <v>1</v>
      </c>
      <c r="BC23" cm="1">
        <f t="array" ref="BC23">IF(OR(BA23="",BA23=0),0,IF(SUMPRODUCT(--(ISNUMBER(SEARCH(BA23,$C$2:$C$33))+ISNUMBER(SEARCH($C$2:$C$33,BA23))))&gt;0,1,0))</f>
        <v>1</v>
      </c>
      <c r="BD23" cm="1">
        <f t="array" ref="BD23">IF(OR(BA23="",BA23=0),0,IF(SUMPRODUCT((ISNUMBER(SEARCH(BA23,$C$2:$C$33))+ISNUMBER(SEARCH($C$2:$C$33,BA23)))*($B$2:$B$33=$B23))&gt;0,1,0))</f>
        <v>1</v>
      </c>
      <c r="BE23" s="65" t="str" cm="1">
        <f t="array" ref="BE23">_xlfn.LET(_xlpm.raw,'Other analyst '!O23,_xlpm.mockNames,'Colin''s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T.J. Parker</v>
      </c>
      <c r="BF23">
        <f>IF(OR(BE23="",BE23=0),0,IF(OR(ISNUMBER(SEARCH(BE23,$C23)),ISNUMBER(SEARCH($C23,BE23))),1,0))</f>
        <v>0</v>
      </c>
      <c r="BG23" cm="1">
        <f t="array" ref="BG23">IF(OR(BE23="",BE23=0),0,IF(SUMPRODUCT(--(ISNUMBER(SEARCH(BE23,$C$2:$C$33))+ISNUMBER(SEARCH($C$2:$C$33,BE23))))&gt;0,1,0))</f>
        <v>0</v>
      </c>
      <c r="BH23" cm="1">
        <f t="array" ref="BH23">IF(OR(BE23="",BE23=0),0,IF(SUMPRODUCT((ISNUMBER(SEARCH(BE23,$C$2:$C$33))+ISNUMBER(SEARCH($C$2:$C$33,BE23)))*($B$2:$B$33=$B23))&gt;0,1,0))</f>
        <v>0</v>
      </c>
      <c r="BI23" s="65" t="str" cm="1">
        <f t="array" ref="BI23">_xlfn.LET(_xlpm.raw,'Other analyst '!P23,_xlpm.mockNames,'Colin''s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Jermod McCoy</v>
      </c>
      <c r="BJ23">
        <f>IF(OR(BI23="",BI23=0),0,IF(OR(ISNUMBER(SEARCH(BI23,$C23)),ISNUMBER(SEARCH($C23,BI23))),1,0))</f>
        <v>0</v>
      </c>
      <c r="BK23" cm="1">
        <f t="array" ref="BK23">IF(OR(BI23="",BI23=0),0,IF(SUMPRODUCT(--(ISNUMBER(SEARCH(BI23,$C$2:$C$33))+ISNUMBER(SEARCH($C$2:$C$33,BI23))))&gt;0,1,0))</f>
        <v>0</v>
      </c>
      <c r="BL23" cm="1">
        <f t="array" ref="BL23">IF(OR(BI23="",BI23=0),0,IF(SUMPRODUCT((ISNUMBER(SEARCH(BI23,$C$2:$C$33))+ISNUMBER(SEARCH($C$2:$C$33,BI23)))*($B$2:$B$33=$B23))&gt;0,1,0))</f>
        <v>0</v>
      </c>
      <c r="BM23" s="65" t="str" cm="1">
        <f t="array" ref="BM23">_xlfn.LET(_xlpm.raw,'Other analyst '!Q23,_xlpm.mockNames,'Colin''s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T.J. Parker</v>
      </c>
      <c r="BN23">
        <f>IF(OR(BM23="",BM23=0),0,IF(OR(ISNUMBER(SEARCH(BM23,$C23)),ISNUMBER(SEARCH($C23,BM23))),1,0))</f>
        <v>0</v>
      </c>
      <c r="BO23" cm="1">
        <f t="array" ref="BO23">IF(OR(BM23="",BM23=0),0,IF(SUMPRODUCT(--(ISNUMBER(SEARCH(BM23,$C$2:$C$33))+ISNUMBER(SEARCH($C$2:$C$33,BM23))))&gt;0,1,0))</f>
        <v>0</v>
      </c>
      <c r="BP23" cm="1">
        <f t="array" ref="BP23">IF(OR(BM23="",BM23=0),0,IF(SUMPRODUCT((ISNUMBER(SEARCH(BM23,$C$2:$C$33))+ISNUMBER(SEARCH($C$2:$C$33,BM23)))*($B$2:$B$33=$B23))&gt;0,1,0))</f>
        <v>0</v>
      </c>
      <c r="BQ23" s="65" t="str" cm="1">
        <f t="array" ref="BQ23">_xlfn.LET(_xlpm.raw,'Other analyst '!R23,_xlpm.mockNames,'Colin''s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Kayden McDonald</v>
      </c>
      <c r="BR23">
        <f>IF(OR(BQ23="",BQ23=0),0,IF(OR(ISNUMBER(SEARCH(BQ23,$C23)),ISNUMBER(SEARCH($C23,BQ23))),1,0))</f>
        <v>0</v>
      </c>
      <c r="BS23" cm="1">
        <f t="array" ref="BS23">IF(OR(BQ23="",BQ23=0),0,IF(SUMPRODUCT(--(ISNUMBER(SEARCH(BQ23,$C$2:$C$33))+ISNUMBER(SEARCH($C$2:$C$33,BQ23))))&gt;0,1,0))</f>
        <v>0</v>
      </c>
      <c r="BT23" cm="1">
        <f t="array" ref="BT23">IF(OR(BQ23="",BQ23=0),0,IF(SUMPRODUCT((ISNUMBER(SEARCH(BQ23,$C$2:$C$33))+ISNUMBER(SEARCH($C$2:$C$33,BQ23)))*($B$2:$B$33=$B23))&gt;0,1,0))</f>
        <v>0</v>
      </c>
      <c r="BU23" s="76" t="str">
        <f>'Colin Mock wTrade'!D23</f>
        <v>Kadyn Proctor</v>
      </c>
      <c r="BV23">
        <f>IF(BU23="",0,IF(OR(ISNUMBER(SEARCH(BU23,C23)),ISNUMBER(SEARCH(C23,BU23))),1,0))</f>
        <v>0</v>
      </c>
      <c r="BW23" cm="1">
        <f t="array" ref="BW23">IF(BU23="",0,IF(SUMPRODUCT(--(ISNUMBER(SEARCH(BU23,$C$2:$C$33))+ISNUMBER(SEARCH($C$2:$C$33,BU23))))&gt;0,1,0))</f>
        <v>1</v>
      </c>
      <c r="BX23" cm="1">
        <f t="array" ref="BX23">IF(BU23="",0,IFERROR(IF(SUMPRODUCT((ISNUMBER(SEARCH(BU23,$C$2:$C$33))+ISNUMBER(SEARCH($C$2:$C$33,BU23)))*($B$2:$B$33=VLOOKUP('Colin Mock wTrade'!C23,$CA$1:$CB$32,2,FALSE)))&gt;0,1,0),0))</f>
        <v>0</v>
      </c>
      <c r="CA23" t="s">
        <v>83</v>
      </c>
      <c r="CB23" t="s">
        <v>699</v>
      </c>
      <c r="CC23" t="str">
        <f>'Other analyst '!S23</f>
        <v>Jermod McCoy</v>
      </c>
      <c r="CD23">
        <f t="shared" si="9"/>
        <v>0</v>
      </c>
      <c r="CE23" cm="1">
        <f t="array" ref="CE23">IF(CC23="",0,IF(SUMPRODUCT(--(ISNUMBER(SEARCH(CC23,$C$2:$C$33))+ISNUMBER(SEARCH($C$2:$C$33,CC23))))&gt;0,1,0))</f>
        <v>0</v>
      </c>
      <c r="CF23" cm="1">
        <f t="array" ref="CF23">IF(CC23="",0,IF(SUMPRODUCT((ISNUMBER(SEARCH(CC23,$C$2:$C$33))+ISNUMBER(SEARCH($C$2:$C$33,CC23)))*($B$2:$B$33=$B23))&gt;0,1,0))</f>
        <v>0</v>
      </c>
      <c r="CG23" t="str">
        <f>'Other analyst '!T23</f>
        <v>Jermod McCoy</v>
      </c>
      <c r="CH23">
        <f t="shared" si="10"/>
        <v>0</v>
      </c>
      <c r="CI23" cm="1">
        <f t="array" ref="CI23">IF(CG23="",0,IF(SUMPRODUCT(--(ISNUMBER(SEARCH(CG23,$C$2:$C$33))+ISNUMBER(SEARCH($C$2:$C$33,CG23))))&gt;0,1,0))</f>
        <v>0</v>
      </c>
      <c r="CJ23" cm="1">
        <f t="array" ref="CJ23">IF(CG23="",0,IF(SUMPRODUCT((ISNUMBER(SEARCH(CG23,$C$2:$C$33))+ISNUMBER(SEARCH($C$2:$C$33,CG23)))*($B$2:$B$33=$B23))&gt;0,1,0))</f>
        <v>0</v>
      </c>
      <c r="CK23" t="str">
        <f>'Other analyst '!U23</f>
        <v>Emmanuel McNeil-Warren</v>
      </c>
      <c r="CL23">
        <f t="shared" si="11"/>
        <v>0</v>
      </c>
      <c r="CM23" cm="1">
        <f t="array" ref="CM23">IF(CK23="",0,IF(SUMPRODUCT(--(ISNUMBER(SEARCH(CK23,$C$2:$C$33))+ISNUMBER(SEARCH($C$2:$C$33,CK23))))&gt;0,1,0))</f>
        <v>0</v>
      </c>
      <c r="CN23" cm="1">
        <f t="array" ref="CN23">IF(CK23="",0,IF(SUMPRODUCT((ISNUMBER(SEARCH(CK23,$C$2:$C$33))+ISNUMBER(SEARCH($C$2:$C$33,CK23)))*($B$2:$B$33=$B23))&gt;0,1,0))</f>
        <v>0</v>
      </c>
      <c r="CO23" t="str">
        <f>'Other analyst '!V23</f>
        <v>Olaivavega Ioane</v>
      </c>
      <c r="CP23">
        <f t="shared" si="12"/>
        <v>0</v>
      </c>
      <c r="CQ23" cm="1">
        <f t="array" ref="CQ23">IF(CO23="",0,IF(SUMPRODUCT(--(ISNUMBER(SEARCH(CO23,$C$2:$C$33))+ISNUMBER(SEARCH($C$2:$C$33,CO23))))&gt;0,1,0))</f>
        <v>1</v>
      </c>
      <c r="CR23" cm="1">
        <f t="array" ref="CR23">IF(CO23="",0,IF(SUMPRODUCT((ISNUMBER(SEARCH(CO23,$C$2:$C$33))+ISNUMBER(SEARCH($C$2:$C$33,CO23)))*($B$2:$B$33=$B23))&gt;0,1,0))</f>
        <v>0</v>
      </c>
      <c r="CS23" s="28" t="str">
        <f>'Other analyst '!W23</f>
        <v>Kayden McDonald</v>
      </c>
      <c r="CT23">
        <f t="shared" si="13"/>
        <v>0</v>
      </c>
      <c r="CU23" cm="1">
        <f t="array" ref="CU23">IF(CS23="",0,IF(SUMPRODUCT(--(ISNUMBER(SEARCH(CS23,$C$2:$C$33))+ISNUMBER(SEARCH($C$2:$C$33,CS23))))&gt;0,1,0))</f>
        <v>0</v>
      </c>
      <c r="CV23" cm="1">
        <f t="array" ref="CV23">IF(CS23="",0,IFERROR(IF(SUMPRODUCT((ISNUMBER(SEARCH(CS23,$C$2:$C$33))+ISNUMBER(SEARCH($C$2:$C$33,CS23)))*(ISNUMBER(SEARCH($B$2:$B$33,'Other analyst '!B23))+ISNUMBER(SEARCH('Other analyst '!B23,$B$2:$B$33))))&gt;0,1,0),0))</f>
        <v>0</v>
      </c>
      <c r="CW23" s="36" t="str">
        <f>'Other analyst '!AD23</f>
        <v>Chase Bisontis</v>
      </c>
      <c r="CX23">
        <f t="shared" si="14"/>
        <v>0</v>
      </c>
      <c r="CY23" cm="1">
        <f t="array" ref="CY23">IF(CW23="",0,IF(SUMPRODUCT(--(ISNUMBER(SEARCH(CW23,$C$2:$C$33))+ISNUMBER(SEARCH($C$2:$C$33,CW23))))&gt;0,1,0))</f>
        <v>0</v>
      </c>
      <c r="CZ23" cm="1">
        <f t="array" ref="CZ23">IF(CW23="",0,IF(SUMPRODUCT((ISNUMBER(SEARCH(CW23,$C$2:$C$33))+ISNUMBER(SEARCH($C$2:$C$33,CW23)))*($B$2:$B$33=$B23))&gt;0,1,0))</f>
        <v>0</v>
      </c>
      <c r="DA23" s="28" t="str">
        <f>'Other analyst '!AE23</f>
        <v>Olaivavega Ioane</v>
      </c>
      <c r="DB23">
        <f t="shared" si="15"/>
        <v>0</v>
      </c>
      <c r="DC23" cm="1">
        <f t="array" ref="DC23">IF(DA23="",0,IF(SUMPRODUCT(--(ISNUMBER(SEARCH(DA23,$C$2:$C$33))+ISNUMBER(SEARCH($C$2:$C$33,DA23))))&gt;0,1,0))</f>
        <v>1</v>
      </c>
      <c r="DD23" cm="1">
        <f t="array" ref="DD23">IF(DA23="",0,IF(SUMPRODUCT((ISNUMBER(SEARCH(DA23,$C$2:$C$33))+ISNUMBER(SEARCH($C$2:$C$33,DA23)))*($B$2:$B$33=$B23))&gt;0,1,0))</f>
        <v>0</v>
      </c>
      <c r="DE23" s="28" t="str">
        <f>'Other analyst '!AF23</f>
        <v>Kenyon Sadiq</v>
      </c>
      <c r="DF23">
        <f t="shared" si="16"/>
        <v>0</v>
      </c>
      <c r="DG23" cm="1">
        <f t="array" ref="DG23">IF(DE23="",0,IF(SUMPRODUCT(--(ISNUMBER(SEARCH(DE23,$C$2:$C$33))+ISNUMBER(SEARCH($C$2:$C$33,DE23))))&gt;0,1,0))</f>
        <v>1</v>
      </c>
      <c r="DH23" cm="1">
        <f t="array" ref="DH23">IF(DE23="",0,IF(SUMPRODUCT((ISNUMBER(SEARCH(DE23,$C$2:$C$33))+ISNUMBER(SEARCH($C$2:$C$33,DE23)))*($B$2:$B$33=$B23))&gt;0,1,0))</f>
        <v>0</v>
      </c>
      <c r="DI23" s="36" t="str">
        <f>'Other analyst '!AG23</f>
        <v>T.J. Parker</v>
      </c>
      <c r="DJ23">
        <f t="shared" si="17"/>
        <v>0</v>
      </c>
      <c r="DK23" cm="1">
        <f t="array" ref="DK23">IF(DI23="",0,IF(SUMPRODUCT(--(ISNUMBER(SEARCH(DI23,$C$2:$C$33))+ISNUMBER(SEARCH($C$2:$C$33,DI23))))&gt;0,1,0))</f>
        <v>0</v>
      </c>
      <c r="DL23" cm="1">
        <f t="array" ref="DL23">IF(DI23="",0,IF(SUMPRODUCT((ISNUMBER(SEARCH(DI23,$C$2:$C$33))+ISNUMBER(SEARCH($C$2:$C$33,DI23)))*($B$2:$B$33=$B23))&gt;0,1,0))</f>
        <v>0</v>
      </c>
      <c r="DM23" s="36" t="str">
        <f>'Other analyst '!AB23</f>
        <v>Keldric Faulk</v>
      </c>
      <c r="DN23">
        <f t="shared" si="18"/>
        <v>0</v>
      </c>
      <c r="DO23" cm="1">
        <f t="array" ref="DO23">IF(DM23="",0,IF(SUMPRODUCT(--(ISNUMBER(SEARCH(DM23,$C$2:$C$33))+ISNUMBER(SEARCH($C$2:$C$33,DM23))))&gt;0,1,0))</f>
        <v>1</v>
      </c>
      <c r="DP23" cm="1">
        <f t="array" ref="DP23">IF(DM23="",0,IFERROR(IF(SUMPRODUCT((ISNUMBER(SEARCH(DM23,$C$2:$C$33))+ISNUMBER(SEARCH($C$2:$C$33,DM23)))*(ISNUMBER(SEARCH($B$2:$B$33,'Other analyst '!B23))+ISNUMBER(SEARCH('Other analyst '!B23,$B$2:$B$33))))&gt;0,1,0),0))</f>
        <v>0</v>
      </c>
      <c r="DQ23" s="36" t="str">
        <f>'Other analyst '!AC23</f>
        <v>Keldric Faulk</v>
      </c>
      <c r="DR23">
        <f t="shared" si="19"/>
        <v>0</v>
      </c>
      <c r="DS23" cm="1">
        <f t="array" ref="DS23">IF(DQ23="",0,IF(SUMPRODUCT(--(ISNUMBER(SEARCH(DQ23,$C$2:$C$33))+ISNUMBER(SEARCH($C$2:$C$33,DQ23))))&gt;0,1,0))</f>
        <v>1</v>
      </c>
      <c r="DT23" cm="1">
        <f t="array" ref="DT23">IF(DQ23="",0,IFERROR(IF(SUMPRODUCT((ISNUMBER(SEARCH(DQ23,$C$2:$C$33))+ISNUMBER(SEARCH($C$2:$C$33,DQ23)))*(ISNUMBER(SEARCH($B$2:$B$33,'Other analyst '!B23))+ISNUMBER(SEARCH('Other analyst '!B23,$B$2:$B$33))))&gt;0,1,0),0))</f>
        <v>0</v>
      </c>
      <c r="DU23" t="str">
        <f>IFERROR(TRIM(LEFT(IF(ISNUMBER(SEARCH("]",'Other analyst '!X23)),MID('Other analyst '!X23,SEARCH("]",'Other analyst '!X23)+1,200),'Other analyst '!X23),IFERROR(SEARCH(" (",IF(ISNUMBER(SEARCH("]",'Other analyst '!X23)),MID('Other analyst '!X23,SEARCH("]",'Other analyst '!X23)+1,200),'Other analyst '!X23))-1,LEN('Other analyst '!X23)))),"")</f>
        <v>Peter Woods</v>
      </c>
      <c r="DV23">
        <f>IF(DU23="",0,IF(OR(ISNUMBER(SEARCH(DU23,C23)),ISNUMBER(SEARCH(C23,DU23))),1,0))</f>
        <v>0</v>
      </c>
      <c r="DW23" cm="1">
        <f t="array" ref="DW23">IF(DU23="",0,IF(SUMPRODUCT((ISNUMBER(SEARCH(DU23,$C$2:$C$33))+ISNUMBER(SEARCH($C$2:$C$33,DU23))))&gt;0,1,0))</f>
        <v>1</v>
      </c>
      <c r="DX23">
        <v>0</v>
      </c>
      <c r="DY23" t="str">
        <f>IFERROR(TRIM(LEFT(IF(ISNUMBER(SEARCH("]",'Other analyst '!Y23)),MID('Other analyst '!Y23,SEARCH("]",'Other analyst '!Y23)+1,200),'Other analyst '!Y23),IFERROR(SEARCH(" (",IF(ISNUMBER(SEARCH("]",'Other analyst '!Y23)),MID('Other analyst '!Y23,SEARCH("]",'Other analyst '!Y23)+1,200),'Other analyst '!Y23))-1,LEN('Other analyst '!Y23)))),"")</f>
        <v>Colton Hood</v>
      </c>
      <c r="DZ23">
        <f>IF(DY23="",0,IF(OR(ISNUMBER(SEARCH(DY23,C23)),ISNUMBER(SEARCH(C23,DY23))),1,0))</f>
        <v>0</v>
      </c>
      <c r="EA23" cm="1">
        <f t="array" ref="EA23">IF(DY23="",0,IF(SUMPRODUCT((ISNUMBER(SEARCH(DY23,$C$2:$C$33))+ISNUMBER(SEARCH($C$2:$C$33,DY23))))&gt;0,1,0))</f>
        <v>0</v>
      </c>
      <c r="EB23">
        <v>0</v>
      </c>
      <c r="EC23" t="str">
        <f>IFERROR(TRIM(LEFT(IF(ISNUMBER(SEARCH("]",'Other analyst '!Z23)),MID('Other analyst '!Z23,SEARCH("]",'Other analyst '!Z23)+1,200),'Other analyst '!Z23),IFERROR(SEARCH(" (",IF(ISNUMBER(SEARCH("]",'Other analyst '!Z23)),MID('Other analyst '!Z23,SEARCH("]",'Other analyst '!Z23)+1,200),'Other analyst '!Z23))-1,LEN('Other analyst '!Z23)))),"")</f>
        <v>Jermod McCoy</v>
      </c>
      <c r="ED23">
        <f>IF(EC23="",0,IF(OR(ISNUMBER(SEARCH(EC23,C23)),ISNUMBER(SEARCH(C23,EC23))),1,0))</f>
        <v>0</v>
      </c>
      <c r="EE23" cm="1">
        <f t="array" ref="EE23">IF(EC23="",0,IF(SUMPRODUCT((ISNUMBER(SEARCH(EC23,$C$2:$C$33))+ISNUMBER(SEARCH($C$2:$C$33,EC23))))&gt;0,1,0))</f>
        <v>0</v>
      </c>
      <c r="EF23">
        <v>0</v>
      </c>
      <c r="EG23" t="str">
        <f>IFERROR(TRIM(LEFT(IF(ISNUMBER(SEARCH("]",'Other analyst '!AA23)),MID('Other analyst '!AA23,SEARCH("]",'Other analyst '!AA23)+1,200),'Other analyst '!AA23),IFERROR(SEARCH(" (",IF(ISNUMBER(SEARCH("]",'Other analyst '!AA23)),MID('Other analyst '!AA23,SEARCH("]",'Other analyst '!AA23)+1,200),'Other analyst '!AA23))-1,LEN('Other analyst '!AA23)))),"")</f>
        <v>Olaivavega Ioane</v>
      </c>
      <c r="EH23">
        <f>IF(EG23="",0,IF(OR(ISNUMBER(SEARCH(EG23,C23)),ISNUMBER(SEARCH(C23,EG23))),1,0))</f>
        <v>0</v>
      </c>
      <c r="EI23" cm="1">
        <f t="array" ref="EI23">IF(EG23="",0,IF(SUMPRODUCT((ISNUMBER(SEARCH(EG23,$C$2:$C$33))+ISNUMBER(SEARCH($C$2:$C$33,EG23))))&gt;0,1,0))</f>
        <v>1</v>
      </c>
      <c r="EJ23">
        <v>0</v>
      </c>
      <c r="EK23">
        <f>K23+L23+M23+N23+O23+P23+AF23+AI23+AL23+AP23+AT23+AX23+BB23+BF23+BJ23+BN23+BR23+BV23+CD23+CH23+CL23+CP23+CT23+DV23+DZ23+ED23+EH23+DN23+DR23+CX23+DB23+DF23+DJ23</f>
        <v>4</v>
      </c>
    </row>
    <row r="24" spans="1:141">
      <c r="A24" s="30">
        <v>23</v>
      </c>
      <c r="B24" s="30" t="str">
        <f>'Actual nfl first round'!C24</f>
        <v>Cowboys</v>
      </c>
      <c r="C24" s="31" t="str" cm="1">
        <f t="array" ref="C24">_xlfn.LET(_xlpm.actual, 'Actual nfl first round'!D24,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Malachi Lawrence</v>
      </c>
      <c r="D24" s="32" t="str">
        <f>'Colin''s Mock'!D24</f>
        <v>Emmanuel McNeil-Warren</v>
      </c>
      <c r="E24" s="32" t="str">
        <f>_xlfn.LET(_xlpm.raw, 'Other analyst '!C24, _xlpm.s, IF(LEFT(_xlpm.raw,1)="[", MID(_xlpm.raw, FIND("] ",_xlpm.raw)+2, 999), _xlpm.raw), IFERROR(TRIM(LEFT(_xlpm.s, FIND(" (",_xlpm.s)-1)), _xlpm.raw))</f>
        <v>Blake Miller</v>
      </c>
      <c r="F24" s="32" t="str">
        <f>_xlfn.LET(_xlpm.raw, 'Other analyst '!D24, _xlpm.s, IF(LEFT(_xlpm.raw,1)="[", MID(_xlpm.raw, FIND("] ",_xlpm.raw)+2, 999), _xlpm.raw), IFERROR(TRIM(LEFT(_xlpm.s, FIND(" (",_xlpm.s)-1)), _xlpm.raw))</f>
        <v>Blake Miller</v>
      </c>
      <c r="G24" s="32" t="str">
        <f>_xlfn.LET(_xlpm.raw, 'Other analyst '!E24, _xlpm.s, IF(LEFT(_xlpm.raw,1)="[", MID(_xlpm.raw, FIND("] ",_xlpm.raw)+2, 999), _xlpm.raw), IFERROR(TRIM(LEFT(_xlpm.s, FIND(" (",_xlpm.s)-1)), _xlpm.raw))</f>
        <v>Max Iheanachor</v>
      </c>
      <c r="H24" s="32" t="str">
        <f>_xlfn.LET(_xlpm.raw, 'Other analyst '!F24, _xlpm.s, IF(LEFT(_xlpm.raw,1)="[", MID(_xlpm.raw, FIND("] ",_xlpm.raw)+2, 999), _xlpm.raw), IFERROR(TRIM(LEFT(_xlpm.s, FIND(" (",_xlpm.s)-1)), _xlpm.raw))</f>
        <v>Blake Miller</v>
      </c>
      <c r="I24" s="32" t="str">
        <f>_xlfn.LET(_xlpm.raw, 'Other analyst '!G24, _xlpm.s, IF(LEFT(_xlpm.raw,1)="[", MID(_xlpm.raw, FIND("] ",_xlpm.raw)+2, 999), _xlpm.raw), IFERROR(TRIM(LEFT(_xlpm.s, FIND(" (",_xlpm.s)-1)), _xlpm.raw))</f>
        <v>Max Iheanachor</v>
      </c>
      <c r="K24" s="1">
        <f t="shared" si="0"/>
        <v>0</v>
      </c>
      <c r="L24" s="1">
        <f t="shared" si="1"/>
        <v>0</v>
      </c>
      <c r="M24" s="1">
        <f t="shared" si="2"/>
        <v>0</v>
      </c>
      <c r="N24" s="1">
        <f t="shared" si="3"/>
        <v>0</v>
      </c>
      <c r="O24" s="1">
        <f t="shared" si="4"/>
        <v>0</v>
      </c>
      <c r="P24" s="1">
        <f t="shared" si="5"/>
        <v>0</v>
      </c>
      <c r="Q24" s="1" cm="1">
        <f t="array" ref="Q24">IF(D24="", 0, IF(SUMPRODUCT(--(ISNUMBER(SEARCH(D24, $C$2:$C$33)) + ISNUMBER(SEARCH($C$2:$C$33, D24))))&gt;0, 1, 0))</f>
        <v>0</v>
      </c>
      <c r="R24" s="1" cm="1">
        <f t="array" ref="R24">IF(E24="", 0, IF(SUMPRODUCT(--(ISNUMBER(SEARCH(E24, $C$2:$C$33)) + ISNUMBER(SEARCH($C$2:$C$33, E24))))&gt;0, 1, 0))</f>
        <v>1</v>
      </c>
      <c r="S24" s="1" cm="1">
        <f t="array" ref="S24">IF(F24="", 0, IF(SUMPRODUCT(--(ISNUMBER(SEARCH(F24, $C$2:$C$33)) + ISNUMBER(SEARCH($C$2:$C$33, F24))))&gt;0, 1, 0))</f>
        <v>1</v>
      </c>
      <c r="T24" s="1" cm="1">
        <f t="array" ref="T24">IF(G24="", 0, IF(SUMPRODUCT(--(ISNUMBER(SEARCH(G24, $C$2:$C$33)) + ISNUMBER(SEARCH($C$2:$C$33, G24))))&gt;0, 1, 0))</f>
        <v>1</v>
      </c>
      <c r="U24" s="1" cm="1">
        <f t="array" ref="U24">IF(H24="", 0, IF(SUMPRODUCT(--(ISNUMBER(SEARCH(H24, $C$2:$C$33)) + ISNUMBER(SEARCH($C$2:$C$33, H24))))&gt;0, 1, 0))</f>
        <v>1</v>
      </c>
      <c r="V24" s="1" cm="1">
        <f t="array" ref="V24">IF(I24="", 0, IF(SUMPRODUCT(--(ISNUMBER(SEARCH(I24, $C$2:$C$33)) + ISNUMBER(SEARCH($C$2:$C$33, I24))))&gt;0, 1, 0))</f>
        <v>1</v>
      </c>
      <c r="W24" s="1" cm="1">
        <f t="array" ref="W24">IF(D24="",0,IF(SUMPRODUCT((ISNUMBER(SEARCH(D24,$C$2:$C$33))+ISNUMBER(SEARCH($C$2:$C$33,D24)))*($B$2:$B$33=$B24))&gt;0,1,0))</f>
        <v>0</v>
      </c>
      <c r="X24" s="1" cm="1">
        <f t="array" ref="X24">IF(E24="",0,IF(SUMPRODUCT((ISNUMBER(SEARCH(E24,$C$2:$C$33))+ISNUMBER(SEARCH($C$2:$C$33,E24)))*($B$2:$B$33=$B24))&gt;0,1,0))</f>
        <v>0</v>
      </c>
      <c r="Y24" s="1" cm="1">
        <f t="array" ref="Y24">IF(F24="",0,IF(SUMPRODUCT((ISNUMBER(SEARCH(F24,$C$2:$C$33))+ISNUMBER(SEARCH($C$2:$C$33,F24)))*($B$2:$B$33=$B24))&gt;0,1,0))</f>
        <v>0</v>
      </c>
      <c r="Z24" s="1" cm="1">
        <f t="array" ref="Z24">IF(G24="",0,IF(SUMPRODUCT((ISNUMBER(SEARCH(G24,$C$2:$C$33))+ISNUMBER(SEARCH($C$2:$C$33,G24)))*($B$2:$B$33=$B24))&gt;0,1,0))</f>
        <v>0</v>
      </c>
      <c r="AA24" s="1" cm="1">
        <f t="array" ref="AA24">IF(H24="",0,IF(SUMPRODUCT((ISNUMBER(SEARCH(H24,$C$2:$C$33))+ISNUMBER(SEARCH($C$2:$C$33,H24)))*($B$2:$B$33=$B24))&gt;0,1,0))</f>
        <v>0</v>
      </c>
      <c r="AB24" s="1" cm="1">
        <f t="array" ref="AB24">IF(I24="",0,IF(SUMPRODUCT((ISNUMBER(SEARCH(I24,$C$2:$C$33))+ISNUMBER(SEARCH($C$2:$C$33,I24)))*($B$2:$B$33=$B24))&gt;0,1,0))</f>
        <v>0</v>
      </c>
      <c r="AC24" s="36" t="s">
        <v>67</v>
      </c>
      <c r="AD24" s="36" t="s">
        <v>54</v>
      </c>
      <c r="AE24" s="36" t="s">
        <v>228</v>
      </c>
      <c r="AF24">
        <f t="shared" si="6"/>
        <v>0</v>
      </c>
      <c r="AG24" cm="1">
        <f t="array" ref="AG24">IF(AC24="",0,IF(SUMPRODUCT((ISNUMBER(SEARCH(AC24,$C$2:$C$33))+ISNUMBER(SEARCH($C$2:$C$33,AC24))))&gt;0,1,0))</f>
        <v>1</v>
      </c>
      <c r="AH24" cm="1">
        <f t="array" ref="AH24">IF(AC24="",0,IF(SUMPRODUCT((ISNUMBER(SEARCH(AC24,$C$2:$C$33))+ISNUMBER(SEARCH($C$2:$C$33,AC24)))*($B$2:$B$33=$B24))&gt;0,1,0))</f>
        <v>0</v>
      </c>
      <c r="AI24">
        <f t="shared" si="7"/>
        <v>0</v>
      </c>
      <c r="AJ24" cm="1">
        <f t="array" ref="AJ24">IF(AD24="",0,IF(SUMPRODUCT((ISNUMBER(SEARCH(AD24,$C$2:$C$33))+ISNUMBER(SEARCH($C$2:$C$33,AD24))))&gt;0,1,0))</f>
        <v>1</v>
      </c>
      <c r="AK24" cm="1">
        <f t="array" ref="AK24">IF(AD24="",0,IF(SUMPRODUCT((ISNUMBER(SEARCH(AD24,$C$2:$C$33))+ISNUMBER(SEARCH($C$2:$C$33,AD24)))*($B$2:$B$33=$B24))&gt;0,1,0))</f>
        <v>0</v>
      </c>
      <c r="AL24">
        <f t="shared" si="8"/>
        <v>0</v>
      </c>
      <c r="AM24" cm="1">
        <f t="array" ref="AM24">IF(AE24="",0,IF(SUMPRODUCT((ISNUMBER(SEARCH(AE24,$C$2:$C$33))+ISNUMBER(SEARCH($C$2:$C$33,AE24))))&gt;0,1,0))</f>
        <v>1</v>
      </c>
      <c r="AN24" cm="1">
        <f t="array" ref="AN24">IF(AE24="",0,IF(SUMPRODUCT((ISNUMBER(SEARCH(AE24,$C$2:$C$33))+ISNUMBER(SEARCH($C$2:$C$33,AE24)))*($B$2:$B$33=$B24))&gt;0,1,0))</f>
        <v>0</v>
      </c>
      <c r="AO24" s="64" t="str" cm="1">
        <f t="array" ref="AO24">_xlfn.LET(_xlpm.raw,'Other analyst '!K24,_xlpm.mockNames,'Colin''s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Omar Cooper Jr.</v>
      </c>
      <c r="AP24">
        <f>IF(OR(AO24="",AO24=0),0,IF(OR(ISNUMBER(SEARCH(AO24,$C24)),ISNUMBER(SEARCH($C24,AO24))),1,0))</f>
        <v>0</v>
      </c>
      <c r="AQ24" cm="1">
        <f t="array" ref="AQ24">IF(OR(AO24="",AO24=0),0,IF(SUMPRODUCT(--(ISNUMBER(SEARCH(AO24,$C$2:$C$33))+ISNUMBER(SEARCH($C$2:$C$33,AO24))))&gt;0,1,0))</f>
        <v>1</v>
      </c>
      <c r="AR24" cm="1">
        <f t="array" ref="AR24">IF(OR(AO24="",AO24=0),0,IF(SUMPRODUCT((ISNUMBER(SEARCH(AO24,$C$2:$C$33))+ISNUMBER(SEARCH($C$2:$C$33,AO24)))*($B$2:$B$33=$B24))&gt;0,1,0))</f>
        <v>0</v>
      </c>
      <c r="AS24" s="64" t="str" cm="1">
        <f t="array" ref="AS24">_xlfn.LET(_xlpm.raw,'Other analyst '!L24,_xlpm.mockNames,'Colin''s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Kenyon Sadiq</v>
      </c>
      <c r="AT24">
        <f>IF(OR(AS24="",AS24=0),0,IF(OR(ISNUMBER(SEARCH(AS24,$C24)),ISNUMBER(SEARCH($C24,AS24))),1,0))</f>
        <v>0</v>
      </c>
      <c r="AU24" cm="1">
        <f t="array" ref="AU24">IF(OR(AS24="",AS24=0),0,IF(SUMPRODUCT(--(ISNUMBER(SEARCH(AS24,$C$2:$C$33))+ISNUMBER(SEARCH($C$2:$C$33,AS24))))&gt;0,1,0))</f>
        <v>1</v>
      </c>
      <c r="AV24" cm="1">
        <f t="array" ref="AV24">IF(OR(AS24="",AS24=0),0,IF(SUMPRODUCT((ISNUMBER(SEARCH(AS24,$C$2:$C$33))+ISNUMBER(SEARCH($C$2:$C$33,AS24)))*($B$2:$B$33=$B24))&gt;0,1,0))</f>
        <v>0</v>
      </c>
      <c r="AW24" s="65" t="str" cm="1">
        <f t="array" ref="AW24">_xlfn.LET(_xlpm.raw,'Other analyst '!M24,_xlpm.mockNames,'Colin''s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Emmanuel McNeil-Warren</v>
      </c>
      <c r="AX24">
        <f>IF(OR(AW24="",AW24=0),0,IF(OR(ISNUMBER(SEARCH(AW24,$C24)),ISNUMBER(SEARCH($C24,AW24))),1,0))</f>
        <v>0</v>
      </c>
      <c r="AY24" cm="1">
        <f t="array" ref="AY24">IF(OR(AW24="",AW24=0),0,IF(SUMPRODUCT(--(ISNUMBER(SEARCH(AW24,$C$2:$C$33))+ISNUMBER(SEARCH($C$2:$C$33,AW24))))&gt;0,1,0))</f>
        <v>0</v>
      </c>
      <c r="AZ24" cm="1">
        <f t="array" ref="AZ24">IF(OR(AW24="",AW24=0),0,IF(SUMPRODUCT((ISNUMBER(SEARCH(AW24,$C$2:$C$33))+ISNUMBER(SEARCH($C$2:$C$33,AW24)))*($B$2:$B$33=$B24))&gt;0,1,0))</f>
        <v>0</v>
      </c>
      <c r="BA24" s="64" t="str" cm="1">
        <f t="array" ref="BA24">_xlfn.LET(_xlpm.raw,'Other analyst '!N24,_xlpm.mockNames,'Colin''s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Lomu</v>
      </c>
      <c r="BB24">
        <f>IF(OR(BA24="",BA24=0),0,IF(OR(ISNUMBER(SEARCH(BA24,$C24)),ISNUMBER(SEARCH($C24,BA24))),1,0))</f>
        <v>0</v>
      </c>
      <c r="BC24" cm="1">
        <f t="array" ref="BC24">IF(OR(BA24="",BA24=0),0,IF(SUMPRODUCT(--(ISNUMBER(SEARCH(BA24,$C$2:$C$33))+ISNUMBER(SEARCH($C$2:$C$33,BA24))))&gt;0,1,0))</f>
        <v>1</v>
      </c>
      <c r="BD24" cm="1">
        <f t="array" ref="BD24">IF(OR(BA24="",BA24=0),0,IF(SUMPRODUCT((ISNUMBER(SEARCH(BA24,$C$2:$C$33))+ISNUMBER(SEARCH($C$2:$C$33,BA24)))*($B$2:$B$33=$B24))&gt;0,1,0))</f>
        <v>0</v>
      </c>
      <c r="BE24" s="64" t="str" cm="1">
        <f t="array" ref="BE24">_xlfn.LET(_xlpm.raw,'Other analyst '!O24,_xlpm.mockNames,'Colin''s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Kadyn Proctor</v>
      </c>
      <c r="BF24">
        <f>IF(OR(BE24="",BE24=0),0,IF(OR(ISNUMBER(SEARCH(BE24,$C24)),ISNUMBER(SEARCH($C24,BE24))),1,0))</f>
        <v>0</v>
      </c>
      <c r="BG24" cm="1">
        <f t="array" ref="BG24">IF(OR(BE24="",BE24=0),0,IF(SUMPRODUCT(--(ISNUMBER(SEARCH(BE24,$C$2:$C$33))+ISNUMBER(SEARCH($C$2:$C$33,BE24))))&gt;0,1,0))</f>
        <v>1</v>
      </c>
      <c r="BH24" cm="1">
        <f t="array" ref="BH24">IF(OR(BE24="",BE24=0),0,IF(SUMPRODUCT((ISNUMBER(SEARCH(BE24,$C$2:$C$33))+ISNUMBER(SEARCH($C$2:$C$33,BE24)))*($B$2:$B$33=$B24))&gt;0,1,0))</f>
        <v>0</v>
      </c>
      <c r="BI24" s="64" t="str" cm="1">
        <f t="array" ref="BI24">_xlfn.LET(_xlpm.raw,'Other analyst '!P24,_xlpm.mockNames,'Colin''s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Blake Miller</v>
      </c>
      <c r="BJ24">
        <f>IF(OR(BI24="",BI24=0),0,IF(OR(ISNUMBER(SEARCH(BI24,$C24)),ISNUMBER(SEARCH($C24,BI24))),1,0))</f>
        <v>0</v>
      </c>
      <c r="BK24" cm="1">
        <f t="array" ref="BK24">IF(OR(BI24="",BI24=0),0,IF(SUMPRODUCT(--(ISNUMBER(SEARCH(BI24,$C$2:$C$33))+ISNUMBER(SEARCH($C$2:$C$33,BI24))))&gt;0,1,0))</f>
        <v>1</v>
      </c>
      <c r="BL24" cm="1">
        <f t="array" ref="BL24">IF(OR(BI24="",BI24=0),0,IF(SUMPRODUCT((ISNUMBER(SEARCH(BI24,$C$2:$C$33))+ISNUMBER(SEARCH($C$2:$C$33,BI24)))*($B$2:$B$33=$B24))&gt;0,1,0))</f>
        <v>0</v>
      </c>
      <c r="BM24" s="64" t="str" cm="1">
        <f t="array" ref="BM24">_xlfn.LET(_xlpm.raw,'Other analyst '!Q24,_xlpm.mockNames,'Colin''s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Keldric Faulk</v>
      </c>
      <c r="BN24">
        <f>IF(OR(BM24="",BM24=0),0,IF(OR(ISNUMBER(SEARCH(BM24,$C24)),ISNUMBER(SEARCH($C24,BM24))),1,0))</f>
        <v>0</v>
      </c>
      <c r="BO24" cm="1">
        <f t="array" ref="BO24">IF(OR(BM24="",BM24=0),0,IF(SUMPRODUCT(--(ISNUMBER(SEARCH(BM24,$C$2:$C$33))+ISNUMBER(SEARCH($C$2:$C$33,BM24))))&gt;0,1,0))</f>
        <v>1</v>
      </c>
      <c r="BP24" cm="1">
        <f t="array" ref="BP24">IF(OR(BM24="",BM24=0),0,IF(SUMPRODUCT((ISNUMBER(SEARCH(BM24,$C$2:$C$33))+ISNUMBER(SEARCH($C$2:$C$33,BM24)))*($B$2:$B$33=$B24))&gt;0,1,0))</f>
        <v>0</v>
      </c>
      <c r="BQ24" s="64" t="str" cm="1">
        <f t="array" ref="BQ24">_xlfn.LET(_xlpm.raw,'Other analyst '!R24,_xlpm.mockNames,'Colin''s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Kenyon Sadiq</v>
      </c>
      <c r="BR24">
        <f>IF(OR(BQ24="",BQ24=0),0,IF(OR(ISNUMBER(SEARCH(BQ24,$C24)),ISNUMBER(SEARCH($C24,BQ24))),1,0))</f>
        <v>0</v>
      </c>
      <c r="BS24" cm="1">
        <f t="array" ref="BS24">IF(OR(BQ24="",BQ24=0),0,IF(SUMPRODUCT(--(ISNUMBER(SEARCH(BQ24,$C$2:$C$33))+ISNUMBER(SEARCH($C$2:$C$33,BQ24))))&gt;0,1,0))</f>
        <v>1</v>
      </c>
      <c r="BT24" cm="1">
        <f t="array" ref="BT24">IF(OR(BQ24="",BQ24=0),0,IF(SUMPRODUCT((ISNUMBER(SEARCH(BQ24,$C$2:$C$33))+ISNUMBER(SEARCH($C$2:$C$33,BQ24)))*($B$2:$B$33=$B24))&gt;0,1,0))</f>
        <v>0</v>
      </c>
      <c r="BU24" t="str">
        <f>'Colin Mock wTrade'!D24</f>
        <v>Emmanuel McNeil-Warren</v>
      </c>
      <c r="BV24">
        <f>IF(BU24="",0,IF(OR(ISNUMBER(SEARCH(BU24,C24)),ISNUMBER(SEARCH(C24,BU24))),1,0))</f>
        <v>0</v>
      </c>
      <c r="BW24" cm="1">
        <f t="array" ref="BW24">IF(BU24="",0,IF(SUMPRODUCT(--(ISNUMBER(SEARCH(BU24,$C$2:$C$33))+ISNUMBER(SEARCH($C$2:$C$33,BU24))))&gt;0,1,0))</f>
        <v>0</v>
      </c>
      <c r="BX24" cm="1">
        <f t="array" ref="BX24">IF(BU24="",0,IFERROR(IF(SUMPRODUCT((ISNUMBER(SEARCH(BU24,$C$2:$C$33))+ISNUMBER(SEARCH($C$2:$C$33,BU24)))*($B$2:$B$33=VLOOKUP('Colin Mock wTrade'!C24,$CA$1:$CB$32,2,FALSE)))&gt;0,1,0),0))</f>
        <v>0</v>
      </c>
      <c r="CA24" t="s">
        <v>85</v>
      </c>
      <c r="CB24" t="s">
        <v>431</v>
      </c>
      <c r="CC24" t="str">
        <f>'Other analyst '!S24</f>
        <v>Denzel Boston</v>
      </c>
      <c r="CD24">
        <f t="shared" si="9"/>
        <v>0</v>
      </c>
      <c r="CE24" cm="1">
        <f t="array" ref="CE24">IF(CC24="",0,IF(SUMPRODUCT(--(ISNUMBER(SEARCH(CC24,$C$2:$C$33))+ISNUMBER(SEARCH($C$2:$C$33,CC24))))&gt;0,1,0))</f>
        <v>0</v>
      </c>
      <c r="CF24" cm="1">
        <f t="array" ref="CF24">IF(CC24="",0,IF(SUMPRODUCT((ISNUMBER(SEARCH(CC24,$C$2:$C$33))+ISNUMBER(SEARCH($C$2:$C$33,CC24)))*($B$2:$B$33=$B24))&gt;0,1,0))</f>
        <v>0</v>
      </c>
      <c r="CG24" t="str">
        <f>'Other analyst '!T24</f>
        <v>Blake Miller</v>
      </c>
      <c r="CH24">
        <f t="shared" si="10"/>
        <v>0</v>
      </c>
      <c r="CI24" cm="1">
        <f t="array" ref="CI24">IF(CG24="",0,IF(SUMPRODUCT(--(ISNUMBER(SEARCH(CG24,$C$2:$C$33))+ISNUMBER(SEARCH($C$2:$C$33,CG24))))&gt;0,1,0))</f>
        <v>1</v>
      </c>
      <c r="CJ24" cm="1">
        <f t="array" ref="CJ24">IF(CG24="",0,IF(SUMPRODUCT((ISNUMBER(SEARCH(CG24,$C$2:$C$33))+ISNUMBER(SEARCH($C$2:$C$33,CG24)))*($B$2:$B$33=$B24))&gt;0,1,0))</f>
        <v>0</v>
      </c>
      <c r="CK24" t="str">
        <f>'Other analyst '!U24</f>
        <v>Keldric Faulk</v>
      </c>
      <c r="CL24">
        <f t="shared" si="11"/>
        <v>0</v>
      </c>
      <c r="CM24" cm="1">
        <f t="array" ref="CM24">IF(CK24="",0,IF(SUMPRODUCT(--(ISNUMBER(SEARCH(CK24,$C$2:$C$33))+ISNUMBER(SEARCH($C$2:$C$33,CK24))))&gt;0,1,0))</f>
        <v>1</v>
      </c>
      <c r="CN24" cm="1">
        <f t="array" ref="CN24">IF(CK24="",0,IF(SUMPRODUCT((ISNUMBER(SEARCH(CK24,$C$2:$C$33))+ISNUMBER(SEARCH($C$2:$C$33,CK24)))*($B$2:$B$33=$B24))&gt;0,1,0))</f>
        <v>0</v>
      </c>
      <c r="CO24" t="str">
        <f>'Other analyst '!V24</f>
        <v>Francis Mauigoa</v>
      </c>
      <c r="CP24">
        <f t="shared" si="12"/>
        <v>0</v>
      </c>
      <c r="CQ24" cm="1">
        <f t="array" ref="CQ24">IF(CO24="",0,IF(SUMPRODUCT(--(ISNUMBER(SEARCH(CO24,$C$2:$C$33))+ISNUMBER(SEARCH($C$2:$C$33,CO24))))&gt;0,1,0))</f>
        <v>1</v>
      </c>
      <c r="CR24" cm="1">
        <f t="array" ref="CR24">IF(CO24="",0,IF(SUMPRODUCT((ISNUMBER(SEARCH(CO24,$C$2:$C$33))+ISNUMBER(SEARCH($C$2:$C$33,CO24)))*($B$2:$B$33=$B24))&gt;0,1,0))</f>
        <v>0</v>
      </c>
      <c r="CS24" s="36" t="str">
        <f>'Other analyst '!W24</f>
        <v>Blake Miller</v>
      </c>
      <c r="CT24">
        <f t="shared" si="13"/>
        <v>0</v>
      </c>
      <c r="CU24" cm="1">
        <f t="array" ref="CU24">IF(CS24="",0,IF(SUMPRODUCT(--(ISNUMBER(SEARCH(CS24,$C$2:$C$33))+ISNUMBER(SEARCH($C$2:$C$33,CS24))))&gt;0,1,0))</f>
        <v>1</v>
      </c>
      <c r="CV24" cm="1">
        <f t="array" ref="CV24">IF(CS24="",0,IFERROR(IF(SUMPRODUCT((ISNUMBER(SEARCH(CS24,$C$2:$C$33))+ISNUMBER(SEARCH($C$2:$C$33,CS24)))*(ISNUMBER(SEARCH($B$2:$B$33,'Other analyst '!B24))+ISNUMBER(SEARCH('Other analyst '!B24,$B$2:$B$33))))&gt;0,1,0),0))</f>
        <v>0</v>
      </c>
      <c r="CW24" s="36" t="str">
        <f>'Other analyst '!AD24</f>
        <v>Max Iheanachor</v>
      </c>
      <c r="CX24">
        <f t="shared" si="14"/>
        <v>0</v>
      </c>
      <c r="CY24" cm="1">
        <f t="array" ref="CY24">IF(CW24="",0,IF(SUMPRODUCT(--(ISNUMBER(SEARCH(CW24,$C$2:$C$33))+ISNUMBER(SEARCH($C$2:$C$33,CW24))))&gt;0,1,0))</f>
        <v>1</v>
      </c>
      <c r="CZ24" cm="1">
        <f t="array" ref="CZ24">IF(CW24="",0,IF(SUMPRODUCT((ISNUMBER(SEARCH(CW24,$C$2:$C$33))+ISNUMBER(SEARCH($C$2:$C$33,CW24)))*($B$2:$B$33=$B24))&gt;0,1,0))</f>
        <v>0</v>
      </c>
      <c r="DA24" s="36" t="str">
        <f>'Other analyst '!AE24</f>
        <v>Monroe Freeling</v>
      </c>
      <c r="DB24">
        <f t="shared" si="15"/>
        <v>0</v>
      </c>
      <c r="DC24" cm="1">
        <f t="array" ref="DC24">IF(DA24="",0,IF(SUMPRODUCT(--(ISNUMBER(SEARCH(DA24,$C$2:$C$33))+ISNUMBER(SEARCH($C$2:$C$33,DA24))))&gt;0,1,0))</f>
        <v>1</v>
      </c>
      <c r="DD24" cm="1">
        <f t="array" ref="DD24">IF(DA24="",0,IF(SUMPRODUCT((ISNUMBER(SEARCH(DA24,$C$2:$C$33))+ISNUMBER(SEARCH($C$2:$C$33,DA24)))*($B$2:$B$33=$B24))&gt;0,1,0))</f>
        <v>0</v>
      </c>
      <c r="DE24" s="36" t="str">
        <f>'Other analyst '!AF24</f>
        <v>Max Iheanachor</v>
      </c>
      <c r="DF24">
        <f t="shared" si="16"/>
        <v>0</v>
      </c>
      <c r="DG24" cm="1">
        <f t="array" ref="DG24">IF(DE24="",0,IF(SUMPRODUCT(--(ISNUMBER(SEARCH(DE24,$C$2:$C$33))+ISNUMBER(SEARCH($C$2:$C$33,DE24))))&gt;0,1,0))</f>
        <v>1</v>
      </c>
      <c r="DH24" cm="1">
        <f t="array" ref="DH24">IF(DE24="",0,IF(SUMPRODUCT((ISNUMBER(SEARCH(DE24,$C$2:$C$33))+ISNUMBER(SEARCH($C$2:$C$33,DE24)))*($B$2:$B$33=$B24))&gt;0,1,0))</f>
        <v>0</v>
      </c>
      <c r="DI24" s="36" t="str">
        <f>'Other analyst '!AG24</f>
        <v>Monroe Freeling</v>
      </c>
      <c r="DJ24">
        <f t="shared" si="17"/>
        <v>0</v>
      </c>
      <c r="DK24" cm="1">
        <f t="array" ref="DK24">IF(DI24="",0,IF(SUMPRODUCT(--(ISNUMBER(SEARCH(DI24,$C$2:$C$33))+ISNUMBER(SEARCH($C$2:$C$33,DI24))))&gt;0,1,0))</f>
        <v>1</v>
      </c>
      <c r="DL24" cm="1">
        <f t="array" ref="DL24">IF(DI24="",0,IF(SUMPRODUCT((ISNUMBER(SEARCH(DI24,$C$2:$C$33))+ISNUMBER(SEARCH($C$2:$C$33,DI24)))*($B$2:$B$33=$B24))&gt;0,1,0))</f>
        <v>0</v>
      </c>
      <c r="DM24" s="36" t="str">
        <f>'Other analyst '!AB24</f>
        <v>Max Iheanachor</v>
      </c>
      <c r="DN24">
        <f t="shared" si="18"/>
        <v>0</v>
      </c>
      <c r="DO24" cm="1">
        <f t="array" ref="DO24">IF(DM24="",0,IF(SUMPRODUCT(--(ISNUMBER(SEARCH(DM24,$C$2:$C$33))+ISNUMBER(SEARCH($C$2:$C$33,DM24))))&gt;0,1,0))</f>
        <v>1</v>
      </c>
      <c r="DP24" cm="1">
        <f t="array" ref="DP24">IF(DM24="",0,IFERROR(IF(SUMPRODUCT((ISNUMBER(SEARCH(DM24,$C$2:$C$33))+ISNUMBER(SEARCH($C$2:$C$33,DM24)))*(ISNUMBER(SEARCH($B$2:$B$33,'Other analyst '!B24))+ISNUMBER(SEARCH('Other analyst '!B24,$B$2:$B$33))))&gt;0,1,0),0))</f>
        <v>0</v>
      </c>
      <c r="DQ24" s="36" t="str">
        <f>'Other analyst '!AC24</f>
        <v>Blake Miller</v>
      </c>
      <c r="DR24">
        <f t="shared" si="19"/>
        <v>0</v>
      </c>
      <c r="DS24" cm="1">
        <f t="array" ref="DS24">IF(DQ24="",0,IF(SUMPRODUCT(--(ISNUMBER(SEARCH(DQ24,$C$2:$C$33))+ISNUMBER(SEARCH($C$2:$C$33,DQ24))))&gt;0,1,0))</f>
        <v>1</v>
      </c>
      <c r="DT24" cm="1">
        <f t="array" ref="DT24">IF(DQ24="",0,IFERROR(IF(SUMPRODUCT((ISNUMBER(SEARCH(DQ24,$C$2:$C$33))+ISNUMBER(SEARCH($C$2:$C$33,DQ24)))*(ISNUMBER(SEARCH($B$2:$B$33,'Other analyst '!B24))+ISNUMBER(SEARCH('Other analyst '!B24,$B$2:$B$33))))&gt;0,1,0),0))</f>
        <v>0</v>
      </c>
      <c r="DU24" t="str">
        <f>IFERROR(TRIM(LEFT(IF(ISNUMBER(SEARCH("]",'Other analyst '!X24)),MID('Other analyst '!X24,SEARCH("]",'Other analyst '!X24)+1,200),'Other analyst '!X24),IFERROR(SEARCH(" (",IF(ISNUMBER(SEARCH("]",'Other analyst '!X24)),MID('Other analyst '!X24,SEARCH("]",'Other analyst '!X24)+1,200),'Other analyst '!X24))-1,LEN('Other analyst '!X24)))),"")</f>
        <v>Caleb Lomu</v>
      </c>
      <c r="DV24">
        <f>IF(DU24="",0,IF(OR(ISNUMBER(SEARCH(DU24,C24)),ISNUMBER(SEARCH(C24,DU24))),1,0))</f>
        <v>0</v>
      </c>
      <c r="DW24" cm="1">
        <f t="array" ref="DW24">IF(DU24="",0,IF(SUMPRODUCT((ISNUMBER(SEARCH(DU24,$C$2:$C$33))+ISNUMBER(SEARCH($C$2:$C$33,DU24))))&gt;0,1,0))</f>
        <v>1</v>
      </c>
      <c r="DX24">
        <v>0</v>
      </c>
      <c r="DY24" t="str">
        <f>IFERROR(TRIM(LEFT(IF(ISNUMBER(SEARCH("]",'Other analyst '!Y24)),MID('Other analyst '!Y24,SEARCH("]",'Other analyst '!Y24)+1,200),'Other analyst '!Y24),IFERROR(SEARCH(" (",IF(ISNUMBER(SEARCH("]",'Other analyst '!Y24)),MID('Other analyst '!Y24,SEARCH("]",'Other analyst '!Y24)+1,200),'Other analyst '!Y24))-1,LEN('Other analyst '!Y24)))),"")</f>
        <v>Monroe Freeling</v>
      </c>
      <c r="DZ24">
        <f>IF(DY24="",0,IF(OR(ISNUMBER(SEARCH(DY24,C24)),ISNUMBER(SEARCH(C24,DY24))),1,0))</f>
        <v>0</v>
      </c>
      <c r="EA24" cm="1">
        <f t="array" ref="EA24">IF(DY24="",0,IF(SUMPRODUCT((ISNUMBER(SEARCH(DY24,$C$2:$C$33))+ISNUMBER(SEARCH($C$2:$C$33,DY24))))&gt;0,1,0))</f>
        <v>1</v>
      </c>
      <c r="EB24">
        <v>0</v>
      </c>
      <c r="EC24" t="str">
        <f>IFERROR(TRIM(LEFT(IF(ISNUMBER(SEARCH("]",'Other analyst '!Z24)),MID('Other analyst '!Z24,SEARCH("]",'Other analyst '!Z24)+1,200),'Other analyst '!Z24),IFERROR(SEARCH(" (",IF(ISNUMBER(SEARCH("]",'Other analyst '!Z24)),MID('Other analyst '!Z24,SEARCH("]",'Other analyst '!Z24)+1,200),'Other analyst '!Z24))-1,LEN('Other analyst '!Z24)))),"")</f>
        <v>Omar Cooper Jr.</v>
      </c>
      <c r="ED24">
        <f>IF(EC24="",0,IF(OR(ISNUMBER(SEARCH(EC24,C24)),ISNUMBER(SEARCH(C24,EC24))),1,0))</f>
        <v>0</v>
      </c>
      <c r="EE24" cm="1">
        <f t="array" ref="EE24">IF(EC24="",0,IF(SUMPRODUCT((ISNUMBER(SEARCH(EC24,$C$2:$C$33))+ISNUMBER(SEARCH($C$2:$C$33,EC24))))&gt;0,1,0))</f>
        <v>1</v>
      </c>
      <c r="EF24">
        <v>0</v>
      </c>
      <c r="EG24" t="str">
        <f>IFERROR(TRIM(LEFT(IF(ISNUMBER(SEARCH("]",'Other analyst '!AA24)),MID('Other analyst '!AA24,SEARCH("]",'Other analyst '!AA24)+1,200),'Other analyst '!AA24),IFERROR(SEARCH(" (",IF(ISNUMBER(SEARCH("]",'Other analyst '!AA24)),MID('Other analyst '!AA24,SEARCH("]",'Other analyst '!AA24)+1,200),'Other analyst '!AA24))-1,LEN('Other analyst '!AA24)))),"")</f>
        <v>Monroe Freeling</v>
      </c>
      <c r="EH24">
        <f>IF(EG24="",0,IF(OR(ISNUMBER(SEARCH(EG24,C24)),ISNUMBER(SEARCH(C24,EG24))),1,0))</f>
        <v>0</v>
      </c>
      <c r="EI24" cm="1">
        <f t="array" ref="EI24">IF(EG24="",0,IF(SUMPRODUCT((ISNUMBER(SEARCH(EG24,$C$2:$C$33))+ISNUMBER(SEARCH($C$2:$C$33,EG24))))&gt;0,1,0))</f>
        <v>1</v>
      </c>
      <c r="EJ24">
        <v>0</v>
      </c>
      <c r="EK24">
        <f>K24+L24+M24+N24+O24+P24+AF24+AI24+AL24+AP24+AT24+AX24+BB24+BF24+BJ24+BN24+BR24+BV24+CD24+CH24+CL24+CP24+CT24+DV24+DZ24+ED24+EH24+DN24+DR24+CX24+DB24+DF24+DJ24</f>
        <v>0</v>
      </c>
    </row>
    <row r="25" spans="1:141">
      <c r="A25" s="30">
        <v>24</v>
      </c>
      <c r="B25" s="30" t="str">
        <f>'Actual nfl first round'!C25</f>
        <v>Browns</v>
      </c>
      <c r="C25" s="31" t="str" cm="1">
        <f t="array" ref="C25">_xlfn.LET(_xlpm.actual, 'Actual nfl first round'!D25,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KC Concepcion</v>
      </c>
      <c r="D25" s="32" t="str">
        <f>'Colin''s Mock'!D25</f>
        <v>KC Concepcion</v>
      </c>
      <c r="E25" s="32" t="str">
        <f>_xlfn.LET(_xlpm.raw, 'Other analyst '!C25, _xlpm.s, IF(LEFT(_xlpm.raw,1)="[", MID(_xlpm.raw, FIND("] ",_xlpm.raw)+2, 999), _xlpm.raw), IFERROR(TRIM(LEFT(_xlpm.s, FIND(" (",_xlpm.s)-1)), _xlpm.raw))</f>
        <v>Denzel Boston</v>
      </c>
      <c r="F25" s="32" t="str">
        <f>_xlfn.LET(_xlpm.raw, 'Other analyst '!D25, _xlpm.s, IF(LEFT(_xlpm.raw,1)="[", MID(_xlpm.raw, FIND("] ",_xlpm.raw)+2, 999), _xlpm.raw), IFERROR(TRIM(LEFT(_xlpm.s, FIND(" (",_xlpm.s)-1)), _xlpm.raw))</f>
        <v>Jermod McCoy</v>
      </c>
      <c r="G25" s="32" t="str">
        <f>_xlfn.LET(_xlpm.raw, 'Other analyst '!E25, _xlpm.s, IF(LEFT(_xlpm.raw,1)="[", MID(_xlpm.raw, FIND("] ",_xlpm.raw)+2, 999), _xlpm.raw), IFERROR(TRIM(LEFT(_xlpm.s, FIND(" (",_xlpm.s)-1)), _xlpm.raw))</f>
        <v>Denzel Boston</v>
      </c>
      <c r="H25" s="32" t="str">
        <f>_xlfn.LET(_xlpm.raw, 'Other analyst '!F25, _xlpm.s, IF(LEFT(_xlpm.raw,1)="[", MID(_xlpm.raw, FIND("] ",_xlpm.raw)+2, 999), _xlpm.raw), IFERROR(TRIM(LEFT(_xlpm.s, FIND(" (",_xlpm.s)-1)), _xlpm.raw))</f>
        <v>Denzel Boston</v>
      </c>
      <c r="I25" s="32" t="str">
        <f>_xlfn.LET(_xlpm.raw, 'Other analyst '!G25, _xlpm.s, IF(LEFT(_xlpm.raw,1)="[", MID(_xlpm.raw, FIND("] ",_xlpm.raw)+2, 999), _xlpm.raw), IFERROR(TRIM(LEFT(_xlpm.s, FIND(" (",_xlpm.s)-1)), _xlpm.raw))</f>
        <v>Blake Miller</v>
      </c>
      <c r="K25" s="1">
        <f t="shared" si="0"/>
        <v>1</v>
      </c>
      <c r="L25" s="1">
        <f t="shared" si="1"/>
        <v>0</v>
      </c>
      <c r="M25" s="1">
        <f t="shared" si="2"/>
        <v>0</v>
      </c>
      <c r="N25" s="1">
        <f t="shared" si="3"/>
        <v>0</v>
      </c>
      <c r="O25" s="1">
        <f t="shared" si="4"/>
        <v>0</v>
      </c>
      <c r="P25" s="1">
        <f t="shared" si="5"/>
        <v>0</v>
      </c>
      <c r="Q25" s="1" cm="1">
        <f t="array" ref="Q25">IF(D25="", 0, IF(SUMPRODUCT(--(ISNUMBER(SEARCH(D25, $C$2:$C$33)) + ISNUMBER(SEARCH($C$2:$C$33, D25))))&gt;0, 1, 0))</f>
        <v>1</v>
      </c>
      <c r="R25" s="1" cm="1">
        <f t="array" ref="R25">IF(E25="", 0, IF(SUMPRODUCT(--(ISNUMBER(SEARCH(E25, $C$2:$C$33)) + ISNUMBER(SEARCH($C$2:$C$33, E25))))&gt;0, 1, 0))</f>
        <v>0</v>
      </c>
      <c r="S25" s="1" cm="1">
        <f t="array" ref="S25">IF(F25="", 0, IF(SUMPRODUCT(--(ISNUMBER(SEARCH(F25, $C$2:$C$33)) + ISNUMBER(SEARCH($C$2:$C$33, F25))))&gt;0, 1, 0))</f>
        <v>0</v>
      </c>
      <c r="T25" s="1" cm="1">
        <f t="array" ref="T25">IF(G25="", 0, IF(SUMPRODUCT(--(ISNUMBER(SEARCH(G25, $C$2:$C$33)) + ISNUMBER(SEARCH($C$2:$C$33, G25))))&gt;0, 1, 0))</f>
        <v>0</v>
      </c>
      <c r="U25" s="1" cm="1">
        <f t="array" ref="U25">IF(H25="", 0, IF(SUMPRODUCT(--(ISNUMBER(SEARCH(H25, $C$2:$C$33)) + ISNUMBER(SEARCH($C$2:$C$33, H25))))&gt;0, 1, 0))</f>
        <v>0</v>
      </c>
      <c r="V25" s="1" cm="1">
        <f t="array" ref="V25">IF(I25="", 0, IF(SUMPRODUCT(--(ISNUMBER(SEARCH(I25, $C$2:$C$33)) + ISNUMBER(SEARCH($C$2:$C$33, I25))))&gt;0, 1, 0))</f>
        <v>1</v>
      </c>
      <c r="W25" s="1" cm="1">
        <f t="array" ref="W25">IF(D25="",0,IF(SUMPRODUCT((ISNUMBER(SEARCH(D25,$C$2:$C$33))+ISNUMBER(SEARCH($C$2:$C$33,D25)))*($B$2:$B$33=$B25))&gt;0,1,0))</f>
        <v>1</v>
      </c>
      <c r="X25" s="1" cm="1">
        <f t="array" ref="X25">IF(E25="",0,IF(SUMPRODUCT((ISNUMBER(SEARCH(E25,$C$2:$C$33))+ISNUMBER(SEARCH($C$2:$C$33,E25)))*($B$2:$B$33=$B25))&gt;0,1,0))</f>
        <v>0</v>
      </c>
      <c r="Y25" s="1" cm="1">
        <f t="array" ref="Y25">IF(F25="",0,IF(SUMPRODUCT((ISNUMBER(SEARCH(F25,$C$2:$C$33))+ISNUMBER(SEARCH($C$2:$C$33,F25)))*($B$2:$B$33=$B25))&gt;0,1,0))</f>
        <v>0</v>
      </c>
      <c r="Z25" s="1" cm="1">
        <f t="array" ref="Z25">IF(G25="",0,IF(SUMPRODUCT((ISNUMBER(SEARCH(G25,$C$2:$C$33))+ISNUMBER(SEARCH($C$2:$C$33,G25)))*($B$2:$B$33=$B25))&gt;0,1,0))</f>
        <v>0</v>
      </c>
      <c r="AA25" s="1" cm="1">
        <f t="array" ref="AA25">IF(H25="",0,IF(SUMPRODUCT((ISNUMBER(SEARCH(H25,$C$2:$C$33))+ISNUMBER(SEARCH($C$2:$C$33,H25)))*($B$2:$B$33=$B25))&gt;0,1,0))</f>
        <v>0</v>
      </c>
      <c r="AB25" s="1" cm="1">
        <f t="array" ref="AB25">IF(I25="",0,IF(SUMPRODUCT((ISNUMBER(SEARCH(I25,$C$2:$C$33))+ISNUMBER(SEARCH($C$2:$C$33,I25)))*($B$2:$B$33=$B25))&gt;0,1,0))</f>
        <v>0</v>
      </c>
      <c r="AC25" s="35" t="s">
        <v>76</v>
      </c>
      <c r="AD25" s="35" t="s">
        <v>76</v>
      </c>
      <c r="AE25" s="36" t="s">
        <v>79</v>
      </c>
      <c r="AF25">
        <f t="shared" si="6"/>
        <v>1</v>
      </c>
      <c r="AG25" cm="1">
        <f t="array" ref="AG25">IF(AC25="",0,IF(SUMPRODUCT((ISNUMBER(SEARCH(AC25,$C$2:$C$33))+ISNUMBER(SEARCH($C$2:$C$33,AC25))))&gt;0,1,0))</f>
        <v>1</v>
      </c>
      <c r="AH25" cm="1">
        <f t="array" ref="AH25">IF(AC25="",0,IF(SUMPRODUCT((ISNUMBER(SEARCH(AC25,$C$2:$C$33))+ISNUMBER(SEARCH($C$2:$C$33,AC25)))*($B$2:$B$33=$B25))&gt;0,1,0))</f>
        <v>1</v>
      </c>
      <c r="AI25">
        <f t="shared" si="7"/>
        <v>1</v>
      </c>
      <c r="AJ25" cm="1">
        <f t="array" ref="AJ25">IF(AD25="",0,IF(SUMPRODUCT((ISNUMBER(SEARCH(AD25,$C$2:$C$33))+ISNUMBER(SEARCH($C$2:$C$33,AD25))))&gt;0,1,0))</f>
        <v>1</v>
      </c>
      <c r="AK25" cm="1">
        <f t="array" ref="AK25">IF(AD25="",0,IF(SUMPRODUCT((ISNUMBER(SEARCH(AD25,$C$2:$C$33))+ISNUMBER(SEARCH($C$2:$C$33,AD25)))*($B$2:$B$33=$B25))&gt;0,1,0))</f>
        <v>1</v>
      </c>
      <c r="AL25">
        <f t="shared" si="8"/>
        <v>0</v>
      </c>
      <c r="AM25" cm="1">
        <f t="array" ref="AM25">IF(AE25="",0,IF(SUMPRODUCT((ISNUMBER(SEARCH(AE25,$C$2:$C$33))+ISNUMBER(SEARCH($C$2:$C$33,AE25))))&gt;0,1,0))</f>
        <v>1</v>
      </c>
      <c r="AN25" cm="1">
        <f t="array" ref="AN25">IF(AE25="",0,IF(SUMPRODUCT((ISNUMBER(SEARCH(AE25,$C$2:$C$33))+ISNUMBER(SEARCH($C$2:$C$33,AE25)))*($B$2:$B$33=$B25))&gt;0,1,0))</f>
        <v>0</v>
      </c>
      <c r="AO25" s="65" t="str" cm="1">
        <f t="array" ref="AO25">_xlfn.LET(_xlpm.raw,'Other analyst '!K25,_xlpm.mockNames,'Colin''s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Denzel Boston</v>
      </c>
      <c r="AP25">
        <f>IF(OR(AO25="",AO25=0),0,IF(OR(ISNUMBER(SEARCH(AO25,$C25)),ISNUMBER(SEARCH($C25,AO25))),1,0))</f>
        <v>0</v>
      </c>
      <c r="AQ25" cm="1">
        <f t="array" ref="AQ25">IF(OR(AO25="",AO25=0),0,IF(SUMPRODUCT(--(ISNUMBER(SEARCH(AO25,$C$2:$C$33))+ISNUMBER(SEARCH($C$2:$C$33,AO25))))&gt;0,1,0))</f>
        <v>0</v>
      </c>
      <c r="AR25" cm="1">
        <f t="array" ref="AR25">IF(OR(AO25="",AO25=0),0,IF(SUMPRODUCT((ISNUMBER(SEARCH(AO25,$C$2:$C$33))+ISNUMBER(SEARCH($C$2:$C$33,AO25)))*($B$2:$B$33=$B25))&gt;0,1,0))</f>
        <v>0</v>
      </c>
      <c r="AS25" s="64" t="str" cm="1">
        <f t="array" ref="AS25">_xlfn.LET(_xlpm.raw,'Other analyst '!L25,_xlpm.mockNames,'Colin''s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Kadyn Proctor</v>
      </c>
      <c r="AT25">
        <f>IF(OR(AS25="",AS25=0),0,IF(OR(ISNUMBER(SEARCH(AS25,$C25)),ISNUMBER(SEARCH($C25,AS25))),1,0))</f>
        <v>0</v>
      </c>
      <c r="AU25" cm="1">
        <f t="array" ref="AU25">IF(OR(AS25="",AS25=0),0,IF(SUMPRODUCT(--(ISNUMBER(SEARCH(AS25,$C$2:$C$33))+ISNUMBER(SEARCH($C$2:$C$33,AS25))))&gt;0,1,0))</f>
        <v>1</v>
      </c>
      <c r="AV25" cm="1">
        <f t="array" ref="AV25">IF(OR(AS25="",AS25=0),0,IF(SUMPRODUCT((ISNUMBER(SEARCH(AS25,$C$2:$C$33))+ISNUMBER(SEARCH($C$2:$C$33,AS25)))*($B$2:$B$33=$B25))&gt;0,1,0))</f>
        <v>0</v>
      </c>
      <c r="AW25" s="65" t="str" cm="1">
        <f t="array" ref="AW25">_xlfn.LET(_xlpm.raw,'Other analyst '!M25,_xlpm.mockNames,'Colin''s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Denzel Boston</v>
      </c>
      <c r="AX25">
        <f>IF(OR(AW25="",AW25=0),0,IF(OR(ISNUMBER(SEARCH(AW25,$C25)),ISNUMBER(SEARCH($C25,AW25))),1,0))</f>
        <v>0</v>
      </c>
      <c r="AY25" cm="1">
        <f t="array" ref="AY25">IF(OR(AW25="",AW25=0),0,IF(SUMPRODUCT(--(ISNUMBER(SEARCH(AW25,$C$2:$C$33))+ISNUMBER(SEARCH($C$2:$C$33,AW25))))&gt;0,1,0))</f>
        <v>0</v>
      </c>
      <c r="AZ25" cm="1">
        <f t="array" ref="AZ25">IF(OR(AW25="",AW25=0),0,IF(SUMPRODUCT((ISNUMBER(SEARCH(AW25,$C$2:$C$33))+ISNUMBER(SEARCH($C$2:$C$33,AW25)))*($B$2:$B$33=$B25))&gt;0,1,0))</f>
        <v>0</v>
      </c>
      <c r="BA25" s="64" t="str" cm="1">
        <f t="array" ref="BA25">_xlfn.LET(_xlpm.raw,'Other analyst '!N25,_xlpm.mockNames,'Colin''s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Keldric Faulk</v>
      </c>
      <c r="BB25">
        <f>IF(OR(BA25="",BA25=0),0,IF(OR(ISNUMBER(SEARCH(BA25,$C25)),ISNUMBER(SEARCH($C25,BA25))),1,0))</f>
        <v>0</v>
      </c>
      <c r="BC25" cm="1">
        <f t="array" ref="BC25">IF(OR(BA25="",BA25=0),0,IF(SUMPRODUCT(--(ISNUMBER(SEARCH(BA25,$C$2:$C$33))+ISNUMBER(SEARCH($C$2:$C$33,BA25))))&gt;0,1,0))</f>
        <v>1</v>
      </c>
      <c r="BD25" cm="1">
        <f t="array" ref="BD25">IF(OR(BA25="",BA25=0),0,IF(SUMPRODUCT((ISNUMBER(SEARCH(BA25,$C$2:$C$33))+ISNUMBER(SEARCH($C$2:$C$33,BA25)))*($B$2:$B$33=$B25))&gt;0,1,0))</f>
        <v>0</v>
      </c>
      <c r="BE25" s="64" t="str" cm="1">
        <f t="array" ref="BE25">_xlfn.LET(_xlpm.raw,'Other analyst '!O25,_xlpm.mockNames,'Colin''s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Lomu</v>
      </c>
      <c r="BF25">
        <f>IF(OR(BE25="",BE25=0),0,IF(OR(ISNUMBER(SEARCH(BE25,$C25)),ISNUMBER(SEARCH($C25,BE25))),1,0))</f>
        <v>0</v>
      </c>
      <c r="BG25" cm="1">
        <f t="array" ref="BG25">IF(OR(BE25="",BE25=0),0,IF(SUMPRODUCT(--(ISNUMBER(SEARCH(BE25,$C$2:$C$33))+ISNUMBER(SEARCH($C$2:$C$33,BE25))))&gt;0,1,0))</f>
        <v>1</v>
      </c>
      <c r="BH25" cm="1">
        <f t="array" ref="BH25">IF(OR(BE25="",BE25=0),0,IF(SUMPRODUCT((ISNUMBER(SEARCH(BE25,$C$2:$C$33))+ISNUMBER(SEARCH($C$2:$C$33,BE25)))*($B$2:$B$33=$B25))&gt;0,1,0))</f>
        <v>0</v>
      </c>
      <c r="BI25" s="64" t="str" cm="1">
        <f t="array" ref="BI25">_xlfn.LET(_xlpm.raw,'Other analyst '!P25,_xlpm.mockNames,'Colin''s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Max Iheanachor</v>
      </c>
      <c r="BJ25">
        <f>IF(OR(BI25="",BI25=0),0,IF(OR(ISNUMBER(SEARCH(BI25,$C25)),ISNUMBER(SEARCH($C25,BI25))),1,0))</f>
        <v>0</v>
      </c>
      <c r="BK25" cm="1">
        <f t="array" ref="BK25">IF(OR(BI25="",BI25=0),0,IF(SUMPRODUCT(--(ISNUMBER(SEARCH(BI25,$C$2:$C$33))+ISNUMBER(SEARCH($C$2:$C$33,BI25))))&gt;0,1,0))</f>
        <v>1</v>
      </c>
      <c r="BL25" cm="1">
        <f t="array" ref="BL25">IF(OR(BI25="",BI25=0),0,IF(SUMPRODUCT((ISNUMBER(SEARCH(BI25,$C$2:$C$33))+ISNUMBER(SEARCH($C$2:$C$33,BI25)))*($B$2:$B$33=$B25))&gt;0,1,0))</f>
        <v>0</v>
      </c>
      <c r="BM25" s="65" t="str" cm="1">
        <f t="array" ref="BM25">_xlfn.LET(_xlpm.raw,'Other analyst '!Q25,_xlpm.mockNames,'Colin''s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Denzel Boston</v>
      </c>
      <c r="BN25">
        <f>IF(OR(BM25="",BM25=0),0,IF(OR(ISNUMBER(SEARCH(BM25,$C25)),ISNUMBER(SEARCH($C25,BM25))),1,0))</f>
        <v>0</v>
      </c>
      <c r="BO25" cm="1">
        <f t="array" ref="BO25">IF(OR(BM25="",BM25=0),0,IF(SUMPRODUCT(--(ISNUMBER(SEARCH(BM25,$C$2:$C$33))+ISNUMBER(SEARCH($C$2:$C$33,BM25))))&gt;0,1,0))</f>
        <v>0</v>
      </c>
      <c r="BP25" cm="1">
        <f t="array" ref="BP25">IF(OR(BM25="",BM25=0),0,IF(SUMPRODUCT((ISNUMBER(SEARCH(BM25,$C$2:$C$33))+ISNUMBER(SEARCH($C$2:$C$33,BM25)))*($B$2:$B$33=$B25))&gt;0,1,0))</f>
        <v>0</v>
      </c>
      <c r="BQ25" s="64" t="str" cm="1">
        <f t="array" ref="BQ25">_xlfn.LET(_xlpm.raw,'Other analyst '!R25,_xlpm.mockNames,'Colin''s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Makai Lemon</v>
      </c>
      <c r="BR25">
        <f>IF(OR(BQ25="",BQ25=0),0,IF(OR(ISNUMBER(SEARCH(BQ25,$C25)),ISNUMBER(SEARCH($C25,BQ25))),1,0))</f>
        <v>0</v>
      </c>
      <c r="BS25" cm="1">
        <f t="array" ref="BS25">IF(OR(BQ25="",BQ25=0),0,IF(SUMPRODUCT(--(ISNUMBER(SEARCH(BQ25,$C$2:$C$33))+ISNUMBER(SEARCH($C$2:$C$33,BQ25))))&gt;0,1,0))</f>
        <v>1</v>
      </c>
      <c r="BT25" cm="1">
        <f t="array" ref="BT25">IF(OR(BQ25="",BQ25=0),0,IF(SUMPRODUCT((ISNUMBER(SEARCH(BQ25,$C$2:$C$33))+ISNUMBER(SEARCH($C$2:$C$33,BQ25)))*($B$2:$B$33=$B25))&gt;0,1,0))</f>
        <v>0</v>
      </c>
      <c r="BU25" s="63" t="str">
        <f>'Colin Mock wTrade'!D25</f>
        <v>KC Concepcion</v>
      </c>
      <c r="BV25">
        <f>IF(BU25="",0,IF(OR(ISNUMBER(SEARCH(BU25,C25)),ISNUMBER(SEARCH(C25,BU25))),1,0))</f>
        <v>1</v>
      </c>
      <c r="BW25" cm="1">
        <f t="array" ref="BW25">IF(BU25="",0,IF(SUMPRODUCT(--(ISNUMBER(SEARCH(BU25,$C$2:$C$33))+ISNUMBER(SEARCH($C$2:$C$33,BU25))))&gt;0,1,0))</f>
        <v>1</v>
      </c>
      <c r="BX25" cm="1">
        <f t="array" ref="BX25">IF(BU25="",0,IFERROR(IF(SUMPRODUCT((ISNUMBER(SEARCH(BU25,$C$2:$C$33))+ISNUMBER(SEARCH($C$2:$C$33,BU25)))*($B$2:$B$33=VLOOKUP('Colin Mock wTrade'!C25,$CA$1:$CB$32,2,FALSE)))&gt;0,1,0),0))</f>
        <v>1</v>
      </c>
      <c r="CA25" t="s">
        <v>91</v>
      </c>
      <c r="CB25" t="s">
        <v>434</v>
      </c>
      <c r="CC25" t="str">
        <f>'Other analyst '!S25</f>
        <v>Emmanuel McNeil-Warren</v>
      </c>
      <c r="CD25">
        <f t="shared" si="9"/>
        <v>0</v>
      </c>
      <c r="CE25" cm="1">
        <f t="array" ref="CE25">IF(CC25="",0,IF(SUMPRODUCT(--(ISNUMBER(SEARCH(CC25,$C$2:$C$33))+ISNUMBER(SEARCH($C$2:$C$33,CC25))))&gt;0,1,0))</f>
        <v>0</v>
      </c>
      <c r="CF25" cm="1">
        <f t="array" ref="CF25">IF(CC25="",0,IF(SUMPRODUCT((ISNUMBER(SEARCH(CC25,$C$2:$C$33))+ISNUMBER(SEARCH($C$2:$C$33,CC25)))*($B$2:$B$33=$B25))&gt;0,1,0))</f>
        <v>0</v>
      </c>
      <c r="CG25" t="str">
        <f>'Other analyst '!T25</f>
        <v>Emmanuel McNeil-Warren</v>
      </c>
      <c r="CH25">
        <f t="shared" si="10"/>
        <v>0</v>
      </c>
      <c r="CI25" cm="1">
        <f t="array" ref="CI25">IF(CG25="",0,IF(SUMPRODUCT(--(ISNUMBER(SEARCH(CG25,$C$2:$C$33))+ISNUMBER(SEARCH($C$2:$C$33,CG25))))&gt;0,1,0))</f>
        <v>0</v>
      </c>
      <c r="CJ25" cm="1">
        <f t="array" ref="CJ25">IF(CG25="",0,IF(SUMPRODUCT((ISNUMBER(SEARCH(CG25,$C$2:$C$33))+ISNUMBER(SEARCH($C$2:$C$33,CG25)))*($B$2:$B$33=$B25))&gt;0,1,0))</f>
        <v>0</v>
      </c>
      <c r="CK25" t="str">
        <f>'Other analyst '!U25</f>
        <v>Kadyn Proctor</v>
      </c>
      <c r="CL25">
        <f t="shared" si="11"/>
        <v>0</v>
      </c>
      <c r="CM25" cm="1">
        <f t="array" ref="CM25">IF(CK25="",0,IF(SUMPRODUCT(--(ISNUMBER(SEARCH(CK25,$C$2:$C$33))+ISNUMBER(SEARCH($C$2:$C$33,CK25))))&gt;0,1,0))</f>
        <v>1</v>
      </c>
      <c r="CN25" cm="1">
        <f t="array" ref="CN25">IF(CK25="",0,IF(SUMPRODUCT((ISNUMBER(SEARCH(CK25,$C$2:$C$33))+ISNUMBER(SEARCH($C$2:$C$33,CK25)))*($B$2:$B$33=$B25))&gt;0,1,0))</f>
        <v>0</v>
      </c>
      <c r="CO25" t="str">
        <f>'Other analyst '!V25</f>
        <v>Kadyn Proctor</v>
      </c>
      <c r="CP25">
        <f t="shared" si="12"/>
        <v>0</v>
      </c>
      <c r="CQ25" cm="1">
        <f t="array" ref="CQ25">IF(CO25="",0,IF(SUMPRODUCT(--(ISNUMBER(SEARCH(CO25,$C$2:$C$33))+ISNUMBER(SEARCH($C$2:$C$33,CO25))))&gt;0,1,0))</f>
        <v>1</v>
      </c>
      <c r="CR25" cm="1">
        <f t="array" ref="CR25">IF(CO25="",0,IF(SUMPRODUCT((ISNUMBER(SEARCH(CO25,$C$2:$C$33))+ISNUMBER(SEARCH($C$2:$C$33,CO25)))*($B$2:$B$33=$B25))&gt;0,1,0))</f>
        <v>0</v>
      </c>
      <c r="CS25" s="36" t="str">
        <f>'Other analyst '!W25</f>
        <v>Monroe Freeling</v>
      </c>
      <c r="CT25">
        <f t="shared" si="13"/>
        <v>0</v>
      </c>
      <c r="CU25" cm="1">
        <f t="array" ref="CU25">IF(CS25="",0,IF(SUMPRODUCT(--(ISNUMBER(SEARCH(CS25,$C$2:$C$33))+ISNUMBER(SEARCH($C$2:$C$33,CS25))))&gt;0,1,0))</f>
        <v>1</v>
      </c>
      <c r="CV25" cm="1">
        <f t="array" ref="CV25">IF(CS25="",0,IFERROR(IF(SUMPRODUCT((ISNUMBER(SEARCH(CS25,$C$2:$C$33))+ISNUMBER(SEARCH($C$2:$C$33,CS25)))*(ISNUMBER(SEARCH($B$2:$B$33,'Other analyst '!B25))+ISNUMBER(SEARCH('Other analyst '!B25,$B$2:$B$33))))&gt;0,1,0),0))</f>
        <v>0</v>
      </c>
      <c r="CW25" s="28" t="str">
        <f>'Other analyst '!AD25</f>
        <v>KC Concepcion</v>
      </c>
      <c r="CX25">
        <f t="shared" si="14"/>
        <v>1</v>
      </c>
      <c r="CY25" cm="1">
        <f t="array" ref="CY25">IF(CW25="",0,IF(SUMPRODUCT(--(ISNUMBER(SEARCH(CW25,$C$2:$C$33))+ISNUMBER(SEARCH($C$2:$C$33,CW25))))&gt;0,1,0))</f>
        <v>1</v>
      </c>
      <c r="CZ25" cm="1">
        <f t="array" ref="CZ25">IF(CW25="",0,IF(SUMPRODUCT((ISNUMBER(SEARCH(CW25,$C$2:$C$33))+ISNUMBER(SEARCH($C$2:$C$33,CW25)))*($B$2:$B$33=$B25))&gt;0,1,0))</f>
        <v>1</v>
      </c>
      <c r="DA25" s="28" t="str">
        <f>'Other analyst '!AE25</f>
        <v>Caleb Lomu</v>
      </c>
      <c r="DB25">
        <f t="shared" si="15"/>
        <v>0</v>
      </c>
      <c r="DC25" cm="1">
        <f t="array" ref="DC25">IF(DA25="",0,IF(SUMPRODUCT(--(ISNUMBER(SEARCH(DA25,$C$2:$C$33))+ISNUMBER(SEARCH($C$2:$C$33,DA25))))&gt;0,1,0))</f>
        <v>1</v>
      </c>
      <c r="DD25" cm="1">
        <f t="array" ref="DD25">IF(DA25="",0,IF(SUMPRODUCT((ISNUMBER(SEARCH(DA25,$C$2:$C$33))+ISNUMBER(SEARCH($C$2:$C$33,DA25)))*($B$2:$B$33=$B25))&gt;0,1,0))</f>
        <v>0</v>
      </c>
      <c r="DE25" s="36" t="str">
        <f>'Other analyst '!AF25</f>
        <v>KC Concepcion</v>
      </c>
      <c r="DF25">
        <f t="shared" si="16"/>
        <v>1</v>
      </c>
      <c r="DG25" cm="1">
        <f t="array" ref="DG25">IF(DE25="",0,IF(SUMPRODUCT(--(ISNUMBER(SEARCH(DE25,$C$2:$C$33))+ISNUMBER(SEARCH($C$2:$C$33,DE25))))&gt;0,1,0))</f>
        <v>1</v>
      </c>
      <c r="DH25" cm="1">
        <f t="array" ref="DH25">IF(DE25="",0,IF(SUMPRODUCT((ISNUMBER(SEARCH(DE25,$C$2:$C$33))+ISNUMBER(SEARCH($C$2:$C$33,DE25)))*($B$2:$B$33=$B25))&gt;0,1,0))</f>
        <v>1</v>
      </c>
      <c r="DI25" s="28" t="str">
        <f>'Other analyst '!AG25</f>
        <v>KC Concepcion</v>
      </c>
      <c r="DJ25">
        <f t="shared" si="17"/>
        <v>1</v>
      </c>
      <c r="DK25" cm="1">
        <f t="array" ref="DK25">IF(DI25="",0,IF(SUMPRODUCT(--(ISNUMBER(SEARCH(DI25,$C$2:$C$33))+ISNUMBER(SEARCH($C$2:$C$33,DI25))))&gt;0,1,0))</f>
        <v>1</v>
      </c>
      <c r="DL25" cm="1">
        <f t="array" ref="DL25">IF(DI25="",0,IF(SUMPRODUCT((ISNUMBER(SEARCH(DI25,$C$2:$C$33))+ISNUMBER(SEARCH($C$2:$C$33,DI25)))*($B$2:$B$33=$B25))&gt;0,1,0))</f>
        <v>1</v>
      </c>
      <c r="DM25" s="36" t="str">
        <f>'Other analyst '!AB25</f>
        <v>Caleb Lomu</v>
      </c>
      <c r="DN25">
        <f t="shared" si="18"/>
        <v>0</v>
      </c>
      <c r="DO25" cm="1">
        <f t="array" ref="DO25">IF(DM25="",0,IF(SUMPRODUCT(--(ISNUMBER(SEARCH(DM25,$C$2:$C$33))+ISNUMBER(SEARCH($C$2:$C$33,DM25))))&gt;0,1,0))</f>
        <v>1</v>
      </c>
      <c r="DP25" cm="1">
        <f t="array" ref="DP25">IF(DM25="",0,IFERROR(IF(SUMPRODUCT((ISNUMBER(SEARCH(DM25,$C$2:$C$33))+ISNUMBER(SEARCH($C$2:$C$33,DM25)))*(ISNUMBER(SEARCH($B$2:$B$33,'Other analyst '!B25))+ISNUMBER(SEARCH('Other analyst '!B25,$B$2:$B$33))))&gt;0,1,0),0))</f>
        <v>0</v>
      </c>
      <c r="DQ25" s="36" t="str">
        <f>'Other analyst '!AC25</f>
        <v>Caleb Lomu</v>
      </c>
      <c r="DR25">
        <f t="shared" si="19"/>
        <v>0</v>
      </c>
      <c r="DS25" cm="1">
        <f t="array" ref="DS25">IF(DQ25="",0,IF(SUMPRODUCT(--(ISNUMBER(SEARCH(DQ25,$C$2:$C$33))+ISNUMBER(SEARCH($C$2:$C$33,DQ25))))&gt;0,1,0))</f>
        <v>1</v>
      </c>
      <c r="DT25" cm="1">
        <f t="array" ref="DT25">IF(DQ25="",0,IFERROR(IF(SUMPRODUCT((ISNUMBER(SEARCH(DQ25,$C$2:$C$33))+ISNUMBER(SEARCH($C$2:$C$33,DQ25)))*(ISNUMBER(SEARCH($B$2:$B$33,'Other analyst '!B25))+ISNUMBER(SEARCH('Other analyst '!B25,$B$2:$B$33))))&gt;0,1,0),0))</f>
        <v>0</v>
      </c>
      <c r="DU25" t="str">
        <f>IFERROR(TRIM(LEFT(IF(ISNUMBER(SEARCH("]",'Other analyst '!X25)),MID('Other analyst '!X25,SEARCH("]",'Other analyst '!X25)+1,200),'Other analyst '!X25),IFERROR(SEARCH(" (",IF(ISNUMBER(SEARCH("]",'Other analyst '!X25)),MID('Other analyst '!X25,SEARCH("]",'Other analyst '!X25)+1,200),'Other analyst '!X25))-1,LEN('Other analyst '!X25)))),"")</f>
        <v>Denzel Boston</v>
      </c>
      <c r="DV25">
        <f>IF(DU25="",0,IF(OR(ISNUMBER(SEARCH(DU25,C25)),ISNUMBER(SEARCH(C25,DU25))),1,0))</f>
        <v>0</v>
      </c>
      <c r="DW25" cm="1">
        <f t="array" ref="DW25">IF(DU25="",0,IF(SUMPRODUCT((ISNUMBER(SEARCH(DU25,$C$2:$C$33))+ISNUMBER(SEARCH($C$2:$C$33,DU25))))&gt;0,1,0))</f>
        <v>0</v>
      </c>
      <c r="DX25">
        <v>0</v>
      </c>
      <c r="DY25" t="str">
        <f>IFERROR(TRIM(LEFT(IF(ISNUMBER(SEARCH("]",'Other analyst '!Y25)),MID('Other analyst '!Y25,SEARCH("]",'Other analyst '!Y25)+1,200),'Other analyst '!Y25),IFERROR(SEARCH(" (",IF(ISNUMBER(SEARCH("]",'Other analyst '!Y25)),MID('Other analyst '!Y25,SEARCH("]",'Other analyst '!Y25)+1,200),'Other analyst '!Y25))-1,LEN('Other analyst '!Y25)))),"")</f>
        <v>Denzel Boston</v>
      </c>
      <c r="DZ25">
        <f>IF(DY25="",0,IF(OR(ISNUMBER(SEARCH(DY25,C25)),ISNUMBER(SEARCH(C25,DY25))),1,0))</f>
        <v>0</v>
      </c>
      <c r="EA25" cm="1">
        <f t="array" ref="EA25">IF(DY25="",0,IF(SUMPRODUCT((ISNUMBER(SEARCH(DY25,$C$2:$C$33))+ISNUMBER(SEARCH($C$2:$C$33,DY25))))&gt;0,1,0))</f>
        <v>0</v>
      </c>
      <c r="EB25">
        <v>0</v>
      </c>
      <c r="EC25" t="str">
        <f>IFERROR(TRIM(LEFT(IF(ISNUMBER(SEARCH("]",'Other analyst '!Z25)),MID('Other analyst '!Z25,SEARCH("]",'Other analyst '!Z25)+1,200),'Other analyst '!Z25),IFERROR(SEARCH(" (",IF(ISNUMBER(SEARCH("]",'Other analyst '!Z25)),MID('Other analyst '!Z25,SEARCH("]",'Other analyst '!Z25)+1,200),'Other analyst '!Z25))-1,LEN('Other analyst '!Z25)))),"")</f>
        <v>Chris Johnson</v>
      </c>
      <c r="ED25">
        <f>IF(EC25="",0,IF(OR(ISNUMBER(SEARCH(EC25,C25)),ISNUMBER(SEARCH(C25,EC25))),1,0))</f>
        <v>0</v>
      </c>
      <c r="EE25" cm="1">
        <f t="array" ref="EE25">IF(EC25="",0,IF(SUMPRODUCT((ISNUMBER(SEARCH(EC25,$C$2:$C$33))+ISNUMBER(SEARCH($C$2:$C$33,EC25))))&gt;0,1,0))</f>
        <v>1</v>
      </c>
      <c r="EF25">
        <v>0</v>
      </c>
      <c r="EG25" t="str">
        <f>IFERROR(TRIM(LEFT(IF(ISNUMBER(SEARCH("]",'Other analyst '!AA25)),MID('Other analyst '!AA25,SEARCH("]",'Other analyst '!AA25)+1,200),'Other analyst '!AA25),IFERROR(SEARCH(" (",IF(ISNUMBER(SEARCH("]",'Other analyst '!AA25)),MID('Other analyst '!AA25,SEARCH("]",'Other analyst '!AA25)+1,200),'Other analyst '!AA25))-1,LEN('Other analyst '!AA25)))),"")</f>
        <v>Denzel Boston</v>
      </c>
      <c r="EH25">
        <f>IF(EG25="",0,IF(OR(ISNUMBER(SEARCH(EG25,C25)),ISNUMBER(SEARCH(C25,EG25))),1,0))</f>
        <v>0</v>
      </c>
      <c r="EI25" cm="1">
        <f t="array" ref="EI25">IF(EG25="",0,IF(SUMPRODUCT((ISNUMBER(SEARCH(EG25,$C$2:$C$33))+ISNUMBER(SEARCH($C$2:$C$33,EG25))))&gt;0,1,0))</f>
        <v>0</v>
      </c>
      <c r="EJ25">
        <v>0</v>
      </c>
      <c r="EK25">
        <f>K25+L25+M25+N25+O25+P25+AF25+AI25+AL25+AP25+AT25+AX25+BB25+BF25+BJ25+BN25+BR25+BV25+CD25+CH25+CL25+CP25+CT25+DV25+DZ25+ED25+EH25+DN25+DR25+CX25+DB25+DF25+DJ25</f>
        <v>7</v>
      </c>
    </row>
    <row r="26" spans="1:141">
      <c r="A26" s="30">
        <v>25</v>
      </c>
      <c r="B26" s="30" t="str">
        <f>'Actual nfl first round'!C26</f>
        <v>Bears</v>
      </c>
      <c r="C26" s="31" t="str" cm="1">
        <f t="array" ref="C26">_xlfn.LET(_xlpm.actual, 'Actual nfl first round'!D26,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Dillon Thieneman</v>
      </c>
      <c r="D26" s="32" t="str">
        <f>'Colin''s Mock'!D26</f>
        <v>Keldric Faulk</v>
      </c>
      <c r="E26" s="32" t="str">
        <f>_xlfn.LET(_xlpm.raw, 'Other analyst '!C26, _xlpm.s, IF(LEFT(_xlpm.raw,1)="[", MID(_xlpm.raw, FIND("] ",_xlpm.raw)+2, 999), _xlpm.raw), IFERROR(TRIM(LEFT(_xlpm.s, FIND(" (",_xlpm.s)-1)), _xlpm.raw))</f>
        <v>R Mason Thomas</v>
      </c>
      <c r="F26" s="32" t="str">
        <f>_xlfn.LET(_xlpm.raw, 'Other analyst '!D26, _xlpm.s, IF(LEFT(_xlpm.raw,1)="[", MID(_xlpm.raw, FIND("] ",_xlpm.raw)+2, 999), _xlpm.raw), IFERROR(TRIM(LEFT(_xlpm.s, FIND(" (",_xlpm.s)-1)), _xlpm.raw))</f>
        <v>Zion Young</v>
      </c>
      <c r="G26" s="32" t="str">
        <f>_xlfn.LET(_xlpm.raw, 'Other analyst '!E26, _xlpm.s, IF(LEFT(_xlpm.raw,1)="[", MID(_xlpm.raw, FIND("] ",_xlpm.raw)+2, 999), _xlpm.raw), IFERROR(TRIM(LEFT(_xlpm.s, FIND(" (",_xlpm.s)-1)), _xlpm.raw))</f>
        <v>T.J. Parker</v>
      </c>
      <c r="H26" s="32" t="str">
        <f>_xlfn.LET(_xlpm.raw, 'Other analyst '!F26, _xlpm.s, IF(LEFT(_xlpm.raw,1)="[", MID(_xlpm.raw, FIND("] ",_xlpm.raw)+2, 999), _xlpm.raw), IFERROR(TRIM(LEFT(_xlpm.s, FIND(" (",_xlpm.s)-1)), _xlpm.raw))</f>
        <v>Caleb Lomu</v>
      </c>
      <c r="I26" s="32" t="str">
        <f>_xlfn.LET(_xlpm.raw, 'Other analyst '!G26, _xlpm.s, IF(LEFT(_xlpm.raw,1)="[", MID(_xlpm.raw, FIND("] ",_xlpm.raw)+2, 999), _xlpm.raw), IFERROR(TRIM(LEFT(_xlpm.s, FIND(" (",_xlpm.s)-1)), _xlpm.raw))</f>
        <v>T.J. Parker</v>
      </c>
      <c r="K26" s="1">
        <f t="shared" si="0"/>
        <v>0</v>
      </c>
      <c r="L26" s="1">
        <f t="shared" si="1"/>
        <v>0</v>
      </c>
      <c r="M26" s="1">
        <f t="shared" si="2"/>
        <v>0</v>
      </c>
      <c r="N26" s="1">
        <f t="shared" si="3"/>
        <v>0</v>
      </c>
      <c r="O26" s="1">
        <f t="shared" si="4"/>
        <v>0</v>
      </c>
      <c r="P26" s="1">
        <f t="shared" si="5"/>
        <v>0</v>
      </c>
      <c r="Q26" s="1" cm="1">
        <f t="array" ref="Q26">IF(D26="", 0, IF(SUMPRODUCT(--(ISNUMBER(SEARCH(D26, $C$2:$C$33)) + ISNUMBER(SEARCH($C$2:$C$33, D26))))&gt;0, 1, 0))</f>
        <v>1</v>
      </c>
      <c r="R26" s="1" cm="1">
        <f t="array" ref="R26">IF(E26="", 0, IF(SUMPRODUCT(--(ISNUMBER(SEARCH(E26, $C$2:$C$33)) + ISNUMBER(SEARCH($C$2:$C$33, E26))))&gt;0, 1, 0))</f>
        <v>0</v>
      </c>
      <c r="S26" s="1" cm="1">
        <f t="array" ref="S26">IF(F26="", 0, IF(SUMPRODUCT(--(ISNUMBER(SEARCH(F26, $C$2:$C$33)) + ISNUMBER(SEARCH($C$2:$C$33, F26))))&gt;0, 1, 0))</f>
        <v>0</v>
      </c>
      <c r="T26" s="1" cm="1">
        <f t="array" ref="T26">IF(G26="", 0, IF(SUMPRODUCT(--(ISNUMBER(SEARCH(G26, $C$2:$C$33)) + ISNUMBER(SEARCH($C$2:$C$33, G26))))&gt;0, 1, 0))</f>
        <v>0</v>
      </c>
      <c r="U26" s="1" cm="1">
        <f t="array" ref="U26">IF(H26="", 0, IF(SUMPRODUCT(--(ISNUMBER(SEARCH(H26, $C$2:$C$33)) + ISNUMBER(SEARCH($C$2:$C$33, H26))))&gt;0, 1, 0))</f>
        <v>1</v>
      </c>
      <c r="V26" s="1" cm="1">
        <f t="array" ref="V26">IF(I26="", 0, IF(SUMPRODUCT(--(ISNUMBER(SEARCH(I26, $C$2:$C$33)) + ISNUMBER(SEARCH($C$2:$C$33, I26))))&gt;0, 1, 0))</f>
        <v>0</v>
      </c>
      <c r="W26" s="1" cm="1">
        <f t="array" ref="W26">IF(D26="",0,IF(SUMPRODUCT((ISNUMBER(SEARCH(D26,$C$2:$C$33))+ISNUMBER(SEARCH($C$2:$C$33,D26)))*($B$2:$B$33=$B26))&gt;0,1,0))</f>
        <v>0</v>
      </c>
      <c r="X26" s="1" cm="1">
        <f t="array" ref="X26">IF(E26="",0,IF(SUMPRODUCT((ISNUMBER(SEARCH(E26,$C$2:$C$33))+ISNUMBER(SEARCH($C$2:$C$33,E26)))*($B$2:$B$33=$B26))&gt;0,1,0))</f>
        <v>0</v>
      </c>
      <c r="Y26" s="1" cm="1">
        <f t="array" ref="Y26">IF(F26="",0,IF(SUMPRODUCT((ISNUMBER(SEARCH(F26,$C$2:$C$33))+ISNUMBER(SEARCH($C$2:$C$33,F26)))*($B$2:$B$33=$B26))&gt;0,1,0))</f>
        <v>0</v>
      </c>
      <c r="Z26" s="1" cm="1">
        <f t="array" ref="Z26">IF(G26="",0,IF(SUMPRODUCT((ISNUMBER(SEARCH(G26,$C$2:$C$33))+ISNUMBER(SEARCH($C$2:$C$33,G26)))*($B$2:$B$33=$B26))&gt;0,1,0))</f>
        <v>0</v>
      </c>
      <c r="AA26" s="1" cm="1">
        <f t="array" ref="AA26">IF(H26="",0,IF(SUMPRODUCT((ISNUMBER(SEARCH(H26,$C$2:$C$33))+ISNUMBER(SEARCH($C$2:$C$33,H26)))*($B$2:$B$33=$B26))&gt;0,1,0))</f>
        <v>0</v>
      </c>
      <c r="AB26" s="1" cm="1">
        <f t="array" ref="AB26">IF(I26="",0,IF(SUMPRODUCT((ISNUMBER(SEARCH(I26,$C$2:$C$33))+ISNUMBER(SEARCH($C$2:$C$33,I26)))*($B$2:$B$33=$B26))&gt;0,1,0))</f>
        <v>0</v>
      </c>
      <c r="AC26" s="36" t="s">
        <v>79</v>
      </c>
      <c r="AD26" s="36" t="s">
        <v>102</v>
      </c>
      <c r="AE26" s="28" t="s">
        <v>74</v>
      </c>
      <c r="AF26">
        <f t="shared" si="6"/>
        <v>0</v>
      </c>
      <c r="AG26" cm="1">
        <f t="array" ref="AG26">IF(AC26="",0,IF(SUMPRODUCT((ISNUMBER(SEARCH(AC26,$C$2:$C$33))+ISNUMBER(SEARCH($C$2:$C$33,AC26))))&gt;0,1,0))</f>
        <v>1</v>
      </c>
      <c r="AH26" cm="1">
        <f t="array" ref="AH26">IF(AC26="",0,IF(SUMPRODUCT((ISNUMBER(SEARCH(AC26,$C$2:$C$33))+ISNUMBER(SEARCH($C$2:$C$33,AC26)))*($B$2:$B$33=$B26))&gt;0,1,0))</f>
        <v>0</v>
      </c>
      <c r="AI26">
        <f t="shared" si="7"/>
        <v>0</v>
      </c>
      <c r="AJ26" cm="1">
        <f t="array" ref="AJ26">IF(AD26="",0,IF(SUMPRODUCT((ISNUMBER(SEARCH(AD26,$C$2:$C$33))+ISNUMBER(SEARCH($C$2:$C$33,AD26))))&gt;0,1,0))</f>
        <v>1</v>
      </c>
      <c r="AK26" cm="1">
        <f t="array" ref="AK26">IF(AD26="",0,IF(SUMPRODUCT((ISNUMBER(SEARCH(AD26,$C$2:$C$33))+ISNUMBER(SEARCH($C$2:$C$33,AD26)))*($B$2:$B$33=$B26))&gt;0,1,0))</f>
        <v>0</v>
      </c>
      <c r="AL26">
        <f t="shared" si="8"/>
        <v>0</v>
      </c>
      <c r="AM26" cm="1">
        <f t="array" ref="AM26">IF(AE26="",0,IF(SUMPRODUCT((ISNUMBER(SEARCH(AE26,$C$2:$C$33))+ISNUMBER(SEARCH($C$2:$C$33,AE26))))&gt;0,1,0))</f>
        <v>0</v>
      </c>
      <c r="AN26" cm="1">
        <f t="array" ref="AN26">IF(AE26="",0,IF(SUMPRODUCT((ISNUMBER(SEARCH(AE26,$C$2:$C$33))+ISNUMBER(SEARCH($C$2:$C$33,AE26)))*($B$2:$B$33=$B26))&gt;0,1,0))</f>
        <v>0</v>
      </c>
      <c r="AO26" s="65" t="str" cm="1">
        <f t="array" ref="AO26">_xlfn.LET(_xlpm.raw,'Other analyst '!K26,_xlpm.mockNames,'Colin''s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T.J. Parker</v>
      </c>
      <c r="AP26">
        <f>IF(OR(AO26="",AO26=0),0,IF(OR(ISNUMBER(SEARCH(AO26,$C26)),ISNUMBER(SEARCH($C26,AO26))),1,0))</f>
        <v>0</v>
      </c>
      <c r="AQ26" cm="1">
        <f t="array" ref="AQ26">IF(OR(AO26="",AO26=0),0,IF(SUMPRODUCT(--(ISNUMBER(SEARCH(AO26,$C$2:$C$33))+ISNUMBER(SEARCH($C$2:$C$33,AO26))))&gt;0,1,0))</f>
        <v>0</v>
      </c>
      <c r="AR26" cm="1">
        <f t="array" ref="AR26">IF(OR(AO26="",AO26=0),0,IF(SUMPRODUCT((ISNUMBER(SEARCH(AO26,$C$2:$C$33))+ISNUMBER(SEARCH($C$2:$C$33,AO26)))*($B$2:$B$33=$B26))&gt;0,1,0))</f>
        <v>0</v>
      </c>
      <c r="AS26" s="64" t="str" cm="1">
        <f t="array" ref="AS26">_xlfn.LET(_xlpm.raw,'Other analyst '!L26,_xlpm.mockNames,'Colin''s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Lomu</v>
      </c>
      <c r="AT26">
        <f>IF(OR(AS26="",AS26=0),0,IF(OR(ISNUMBER(SEARCH(AS26,$C26)),ISNUMBER(SEARCH($C26,AS26))),1,0))</f>
        <v>0</v>
      </c>
      <c r="AU26" cm="1">
        <f t="array" ref="AU26">IF(OR(AS26="",AS26=0),0,IF(SUMPRODUCT(--(ISNUMBER(SEARCH(AS26,$C$2:$C$33))+ISNUMBER(SEARCH($C$2:$C$33,AS26))))&gt;0,1,0))</f>
        <v>1</v>
      </c>
      <c r="AV26" cm="1">
        <f t="array" ref="AV26">IF(OR(AS26="",AS26=0),0,IF(SUMPRODUCT((ISNUMBER(SEARCH(AS26,$C$2:$C$33))+ISNUMBER(SEARCH($C$2:$C$33,AS26)))*($B$2:$B$33=$B26))&gt;0,1,0))</f>
        <v>0</v>
      </c>
      <c r="AW26" s="64" t="str" cm="1">
        <f t="array" ref="AW26">_xlfn.LET(_xlpm.raw,'Other analyst '!M26,_xlpm.mockNames,'Colin''s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Blake Miller</v>
      </c>
      <c r="AX26">
        <f>IF(OR(AW26="",AW26=0),0,IF(OR(ISNUMBER(SEARCH(AW26,$C26)),ISNUMBER(SEARCH($C26,AW26))),1,0))</f>
        <v>0</v>
      </c>
      <c r="AY26" cm="1">
        <f t="array" ref="AY26">IF(OR(AW26="",AW26=0),0,IF(SUMPRODUCT(--(ISNUMBER(SEARCH(AW26,$C$2:$C$33))+ISNUMBER(SEARCH($C$2:$C$33,AW26))))&gt;0,1,0))</f>
        <v>1</v>
      </c>
      <c r="AZ26" cm="1">
        <f t="array" ref="AZ26">IF(OR(AW26="",AW26=0),0,IF(SUMPRODUCT((ISNUMBER(SEARCH(AW26,$C$2:$C$33))+ISNUMBER(SEARCH($C$2:$C$33,AW26)))*($B$2:$B$33=$B26))&gt;0,1,0))</f>
        <v>0</v>
      </c>
      <c r="BA26" s="65" t="str" cm="1">
        <f t="array" ref="BA26">_xlfn.LET(_xlpm.raw,'Other analyst '!N26,_xlpm.mockNames,'Colin''s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Emmanuel McNeil-Warren</v>
      </c>
      <c r="BB26">
        <f>IF(OR(BA26="",BA26=0),0,IF(OR(ISNUMBER(SEARCH(BA26,$C26)),ISNUMBER(SEARCH($C26,BA26))),1,0))</f>
        <v>0</v>
      </c>
      <c r="BC26" cm="1">
        <f t="array" ref="BC26">IF(OR(BA26="",BA26=0),0,IF(SUMPRODUCT(--(ISNUMBER(SEARCH(BA26,$C$2:$C$33))+ISNUMBER(SEARCH($C$2:$C$33,BA26))))&gt;0,1,0))</f>
        <v>0</v>
      </c>
      <c r="BD26" cm="1">
        <f t="array" ref="BD26">IF(OR(BA26="",BA26=0),0,IF(SUMPRODUCT((ISNUMBER(SEARCH(BA26,$C$2:$C$33))+ISNUMBER(SEARCH($C$2:$C$33,BA26)))*($B$2:$B$33=$B26))&gt;0,1,0))</f>
        <v>0</v>
      </c>
      <c r="BE26" s="64" t="str" cm="1">
        <f t="array" ref="BE26">_xlfn.LET(_xlpm.raw,'Other analyst '!O26,_xlpm.mockNames,'Colin''s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Keldric Faulk</v>
      </c>
      <c r="BF26">
        <f>IF(OR(BE26="",BE26=0),0,IF(OR(ISNUMBER(SEARCH(BE26,$C26)),ISNUMBER(SEARCH($C26,BE26))),1,0))</f>
        <v>0</v>
      </c>
      <c r="BG26" cm="1">
        <f t="array" ref="BG26">IF(OR(BE26="",BE26=0),0,IF(SUMPRODUCT(--(ISNUMBER(SEARCH(BE26,$C$2:$C$33))+ISNUMBER(SEARCH($C$2:$C$33,BE26))))&gt;0,1,0))</f>
        <v>1</v>
      </c>
      <c r="BH26" cm="1">
        <f t="array" ref="BH26">IF(OR(BE26="",BE26=0),0,IF(SUMPRODUCT((ISNUMBER(SEARCH(BE26,$C$2:$C$33))+ISNUMBER(SEARCH($C$2:$C$33,BE26)))*($B$2:$B$33=$B26))&gt;0,1,0))</f>
        <v>0</v>
      </c>
      <c r="BI26" s="64" t="str" cm="1">
        <f t="array" ref="BI26">_xlfn.LET(_xlpm.raw,'Other analyst '!P26,_xlpm.mockNames,'Colin''s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Peter Woods</v>
      </c>
      <c r="BJ26">
        <f>IF(OR(BI26="",BI26=0),0,IF(OR(ISNUMBER(SEARCH(BI26,$C26)),ISNUMBER(SEARCH($C26,BI26))),1,0))</f>
        <v>0</v>
      </c>
      <c r="BK26" cm="1">
        <f t="array" ref="BK26">IF(OR(BI26="",BI26=0),0,IF(SUMPRODUCT(--(ISNUMBER(SEARCH(BI26,$C$2:$C$33))+ISNUMBER(SEARCH($C$2:$C$33,BI26))))&gt;0,1,0))</f>
        <v>1</v>
      </c>
      <c r="BL26" cm="1">
        <f t="array" ref="BL26">IF(OR(BI26="",BI26=0),0,IF(SUMPRODUCT((ISNUMBER(SEARCH(BI26,$C$2:$C$33))+ISNUMBER(SEARCH($C$2:$C$33,BI26)))*($B$2:$B$33=$B26))&gt;0,1,0))</f>
        <v>0</v>
      </c>
      <c r="BM26" s="64" t="str" cm="1">
        <f t="array" ref="BM26">_xlfn.LET(_xlpm.raw,'Other analyst '!Q26,_xlpm.mockNames,'Colin''s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Monroe Freeling</v>
      </c>
      <c r="BN26">
        <f>IF(OR(BM26="",BM26=0),0,IF(OR(ISNUMBER(SEARCH(BM26,$C26)),ISNUMBER(SEARCH($C26,BM26))),1,0))</f>
        <v>0</v>
      </c>
      <c r="BO26" cm="1">
        <f t="array" ref="BO26">IF(OR(BM26="",BM26=0),0,IF(SUMPRODUCT(--(ISNUMBER(SEARCH(BM26,$C$2:$C$33))+ISNUMBER(SEARCH($C$2:$C$33,BM26))))&gt;0,1,0))</f>
        <v>1</v>
      </c>
      <c r="BP26" cm="1">
        <f t="array" ref="BP26">IF(OR(BM26="",BM26=0),0,IF(SUMPRODUCT((ISNUMBER(SEARCH(BM26,$C$2:$C$33))+ISNUMBER(SEARCH($C$2:$C$33,BM26)))*($B$2:$B$33=$B26))&gt;0,1,0))</f>
        <v>0</v>
      </c>
      <c r="BQ26" s="64" t="str" cm="1">
        <f t="array" ref="BQ26">_xlfn.LET(_xlpm.raw,'Other analyst '!R26,_xlpm.mockNames,'Colin''s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Keldric Faulk</v>
      </c>
      <c r="BR26">
        <f>IF(OR(BQ26="",BQ26=0),0,IF(OR(ISNUMBER(SEARCH(BQ26,$C26)),ISNUMBER(SEARCH($C26,BQ26))),1,0))</f>
        <v>0</v>
      </c>
      <c r="BS26" cm="1">
        <f t="array" ref="BS26">IF(OR(BQ26="",BQ26=0),0,IF(SUMPRODUCT(--(ISNUMBER(SEARCH(BQ26,$C$2:$C$33))+ISNUMBER(SEARCH($C$2:$C$33,BQ26))))&gt;0,1,0))</f>
        <v>1</v>
      </c>
      <c r="BT26" cm="1">
        <f t="array" ref="BT26">IF(OR(BQ26="",BQ26=0),0,IF(SUMPRODUCT((ISNUMBER(SEARCH(BQ26,$C$2:$C$33))+ISNUMBER(SEARCH($C$2:$C$33,BQ26)))*($B$2:$B$33=$B26))&gt;0,1,0))</f>
        <v>0</v>
      </c>
      <c r="BU26" s="76" t="str">
        <f>'Colin Mock wTrade'!D26</f>
        <v>Keldric Faulk</v>
      </c>
      <c r="BV26">
        <f>IF(BU26="",0,IF(OR(ISNUMBER(SEARCH(BU26,C26)),ISNUMBER(SEARCH(C26,BU26))),1,0))</f>
        <v>0</v>
      </c>
      <c r="BW26" cm="1">
        <f t="array" ref="BW26">IF(BU26="",0,IF(SUMPRODUCT(--(ISNUMBER(SEARCH(BU26,$C$2:$C$33))+ISNUMBER(SEARCH($C$2:$C$33,BU26))))&gt;0,1,0))</f>
        <v>1</v>
      </c>
      <c r="BX26" cm="1">
        <f t="array" ref="BX26">IF(BU26="",0,IFERROR(IF(SUMPRODUCT((ISNUMBER(SEARCH(BU26,$C$2:$C$33))+ISNUMBER(SEARCH($C$2:$C$33,BU26)))*($B$2:$B$33=VLOOKUP('Colin Mock wTrade'!C26,$CA$1:$CB$32,2,FALSE)))&gt;0,1,0),0))</f>
        <v>0</v>
      </c>
      <c r="CA26" t="s">
        <v>93</v>
      </c>
      <c r="CB26" t="s">
        <v>442</v>
      </c>
      <c r="CC26" t="str">
        <f>'Other analyst '!S26</f>
        <v>Kadyn Proctor</v>
      </c>
      <c r="CD26">
        <f t="shared" si="9"/>
        <v>0</v>
      </c>
      <c r="CE26" cm="1">
        <f t="array" ref="CE26">IF(CC26="",0,IF(SUMPRODUCT(--(ISNUMBER(SEARCH(CC26,$C$2:$C$33))+ISNUMBER(SEARCH($C$2:$C$33,CC26))))&gt;0,1,0))</f>
        <v>1</v>
      </c>
      <c r="CF26" cm="1">
        <f t="array" ref="CF26">IF(CC26="",0,IF(SUMPRODUCT((ISNUMBER(SEARCH(CC26,$C$2:$C$33))+ISNUMBER(SEARCH($C$2:$C$33,CC26)))*($B$2:$B$33=$B26))&gt;0,1,0))</f>
        <v>0</v>
      </c>
      <c r="CG26" t="str">
        <f>'Other analyst '!T26</f>
        <v>Caleb Lomu</v>
      </c>
      <c r="CH26">
        <f t="shared" si="10"/>
        <v>0</v>
      </c>
      <c r="CI26" cm="1">
        <f t="array" ref="CI26">IF(CG26="",0,IF(SUMPRODUCT(--(ISNUMBER(SEARCH(CG26,$C$2:$C$33))+ISNUMBER(SEARCH($C$2:$C$33,CG26))))&gt;0,1,0))</f>
        <v>1</v>
      </c>
      <c r="CJ26" cm="1">
        <f t="array" ref="CJ26">IF(CG26="",0,IF(SUMPRODUCT((ISNUMBER(SEARCH(CG26,$C$2:$C$33))+ISNUMBER(SEARCH($C$2:$C$33,CG26)))*($B$2:$B$33=$B26))&gt;0,1,0))</f>
        <v>0</v>
      </c>
      <c r="CK26" t="str">
        <f>'Other analyst '!U26</f>
        <v>Blake Miller</v>
      </c>
      <c r="CL26">
        <f t="shared" si="11"/>
        <v>0</v>
      </c>
      <c r="CM26" cm="1">
        <f t="array" ref="CM26">IF(CK26="",0,IF(SUMPRODUCT(--(ISNUMBER(SEARCH(CK26,$C$2:$C$33))+ISNUMBER(SEARCH($C$2:$C$33,CK26))))&gt;0,1,0))</f>
        <v>1</v>
      </c>
      <c r="CN26" cm="1">
        <f t="array" ref="CN26">IF(CK26="",0,IF(SUMPRODUCT((ISNUMBER(SEARCH(CK26,$C$2:$C$33))+ISNUMBER(SEARCH($C$2:$C$33,CK26)))*($B$2:$B$33=$B26))&gt;0,1,0))</f>
        <v>0</v>
      </c>
      <c r="CO26" t="str">
        <f>'Other analyst '!V26</f>
        <v>Jordyn Tyson</v>
      </c>
      <c r="CP26">
        <f t="shared" si="12"/>
        <v>0</v>
      </c>
      <c r="CQ26" cm="1">
        <f t="array" ref="CQ26">IF(CO26="",0,IF(SUMPRODUCT(--(ISNUMBER(SEARCH(CO26,$C$2:$C$33))+ISNUMBER(SEARCH($C$2:$C$33,CO26))))&gt;0,1,0))</f>
        <v>1</v>
      </c>
      <c r="CR26" cm="1">
        <f t="array" ref="CR26">IF(CO26="",0,IF(SUMPRODUCT((ISNUMBER(SEARCH(CO26,$C$2:$C$33))+ISNUMBER(SEARCH($C$2:$C$33,CO26)))*($B$2:$B$33=$B26))&gt;0,1,0))</f>
        <v>0</v>
      </c>
      <c r="CS26" s="28" t="str">
        <f>'Other analyst '!W26</f>
        <v>Emmanuel McNeil-Warren</v>
      </c>
      <c r="CT26">
        <f t="shared" si="13"/>
        <v>0</v>
      </c>
      <c r="CU26" cm="1">
        <f t="array" ref="CU26">IF(CS26="",0,IF(SUMPRODUCT(--(ISNUMBER(SEARCH(CS26,$C$2:$C$33))+ISNUMBER(SEARCH($C$2:$C$33,CS26))))&gt;0,1,0))</f>
        <v>0</v>
      </c>
      <c r="CV26" cm="1">
        <f t="array" ref="CV26">IF(CS26="",0,IFERROR(IF(SUMPRODUCT((ISNUMBER(SEARCH(CS26,$C$2:$C$33))+ISNUMBER(SEARCH($C$2:$C$33,CS26)))*(ISNUMBER(SEARCH($B$2:$B$33,'Other analyst '!B26))+ISNUMBER(SEARCH('Other analyst '!B26,$B$2:$B$33))))&gt;0,1,0),0))</f>
        <v>0</v>
      </c>
      <c r="CW26" s="36" t="str">
        <f>'Other analyst '!AD26</f>
        <v>Kayden McDonald</v>
      </c>
      <c r="CX26">
        <f t="shared" si="14"/>
        <v>0</v>
      </c>
      <c r="CY26" cm="1">
        <f t="array" ref="CY26">IF(CW26="",0,IF(SUMPRODUCT(--(ISNUMBER(SEARCH(CW26,$C$2:$C$33))+ISNUMBER(SEARCH($C$2:$C$33,CW26))))&gt;0,1,0))</f>
        <v>0</v>
      </c>
      <c r="CZ26" cm="1">
        <f t="array" ref="CZ26">IF(CW26="",0,IF(SUMPRODUCT((ISNUMBER(SEARCH(CW26,$C$2:$C$33))+ISNUMBER(SEARCH($C$2:$C$33,CW26)))*($B$2:$B$33=$B26))&gt;0,1,0))</f>
        <v>0</v>
      </c>
      <c r="DA26" s="28" t="str">
        <f>'Other analyst '!AE26</f>
        <v>Peter Woods</v>
      </c>
      <c r="DB26">
        <f t="shared" si="15"/>
        <v>0</v>
      </c>
      <c r="DC26" cm="1">
        <f t="array" ref="DC26">IF(DA26="",0,IF(SUMPRODUCT(--(ISNUMBER(SEARCH(DA26,$C$2:$C$33))+ISNUMBER(SEARCH($C$2:$C$33,DA26))))&gt;0,1,0))</f>
        <v>1</v>
      </c>
      <c r="DD26" cm="1">
        <f t="array" ref="DD26">IF(DA26="",0,IF(SUMPRODUCT((ISNUMBER(SEARCH(DA26,$C$2:$C$33))+ISNUMBER(SEARCH($C$2:$C$33,DA26)))*($B$2:$B$33=$B26))&gt;0,1,0))</f>
        <v>0</v>
      </c>
      <c r="DE26" s="36" t="str">
        <f>'Other analyst '!AF26</f>
        <v>Peter Woods</v>
      </c>
      <c r="DF26">
        <f t="shared" si="16"/>
        <v>0</v>
      </c>
      <c r="DG26" cm="1">
        <f t="array" ref="DG26">IF(DE26="",0,IF(SUMPRODUCT(--(ISNUMBER(SEARCH(DE26,$C$2:$C$33))+ISNUMBER(SEARCH($C$2:$C$33,DE26))))&gt;0,1,0))</f>
        <v>1</v>
      </c>
      <c r="DH26" cm="1">
        <f t="array" ref="DH26">IF(DE26="",0,IF(SUMPRODUCT((ISNUMBER(SEARCH(DE26,$C$2:$C$33))+ISNUMBER(SEARCH($C$2:$C$33,DE26)))*($B$2:$B$33=$B26))&gt;0,1,0))</f>
        <v>0</v>
      </c>
      <c r="DI26" s="28" t="str">
        <f>'Other analyst '!AG26</f>
        <v>Keldric Faulk</v>
      </c>
      <c r="DJ26">
        <f t="shared" si="17"/>
        <v>0</v>
      </c>
      <c r="DK26" cm="1">
        <f t="array" ref="DK26">IF(DI26="",0,IF(SUMPRODUCT(--(ISNUMBER(SEARCH(DI26,$C$2:$C$33))+ISNUMBER(SEARCH($C$2:$C$33,DI26))))&gt;0,1,0))</f>
        <v>1</v>
      </c>
      <c r="DL26" cm="1">
        <f t="array" ref="DL26">IF(DI26="",0,IF(SUMPRODUCT((ISNUMBER(SEARCH(DI26,$C$2:$C$33))+ISNUMBER(SEARCH($C$2:$C$33,DI26)))*($B$2:$B$33=$B26))&gt;0,1,0))</f>
        <v>0</v>
      </c>
      <c r="DM26" s="36" t="str">
        <f>'Other analyst '!AB26</f>
        <v>Peter Woods</v>
      </c>
      <c r="DN26">
        <f t="shared" si="18"/>
        <v>0</v>
      </c>
      <c r="DO26" cm="1">
        <f t="array" ref="DO26">IF(DM26="",0,IF(SUMPRODUCT(--(ISNUMBER(SEARCH(DM26,$C$2:$C$33))+ISNUMBER(SEARCH($C$2:$C$33,DM26))))&gt;0,1,0))</f>
        <v>1</v>
      </c>
      <c r="DP26" cm="1">
        <f t="array" ref="DP26">IF(DM26="",0,IFERROR(IF(SUMPRODUCT((ISNUMBER(SEARCH(DM26,$C$2:$C$33))+ISNUMBER(SEARCH($C$2:$C$33,DM26)))*(ISNUMBER(SEARCH($B$2:$B$33,'Other analyst '!B26))+ISNUMBER(SEARCH('Other analyst '!B26,$B$2:$B$33))))&gt;0,1,0),0))</f>
        <v>0</v>
      </c>
      <c r="DQ26" s="28" t="str">
        <f>'Other analyst '!AC26</f>
        <v>Emmanuel McNeil-Warren</v>
      </c>
      <c r="DR26">
        <f t="shared" si="19"/>
        <v>0</v>
      </c>
      <c r="DS26" cm="1">
        <f t="array" ref="DS26">IF(DQ26="",0,IF(SUMPRODUCT(--(ISNUMBER(SEARCH(DQ26,$C$2:$C$33))+ISNUMBER(SEARCH($C$2:$C$33,DQ26))))&gt;0,1,0))</f>
        <v>0</v>
      </c>
      <c r="DT26" cm="1">
        <f t="array" ref="DT26">IF(DQ26="",0,IFERROR(IF(SUMPRODUCT((ISNUMBER(SEARCH(DQ26,$C$2:$C$33))+ISNUMBER(SEARCH($C$2:$C$33,DQ26)))*(ISNUMBER(SEARCH($B$2:$B$33,'Other analyst '!B26))+ISNUMBER(SEARCH('Other analyst '!B26,$B$2:$B$33))))&gt;0,1,0),0))</f>
        <v>0</v>
      </c>
      <c r="DU26" t="str">
        <f>IFERROR(TRIM(LEFT(IF(ISNUMBER(SEARCH("]",'Other analyst '!X26)),MID('Other analyst '!X26,SEARCH("]",'Other analyst '!X26)+1,200),'Other analyst '!X26),IFERROR(SEARCH(" (",IF(ISNUMBER(SEARCH("]",'Other analyst '!X26)),MID('Other analyst '!X26,SEARCH("]",'Other analyst '!X26)+1,200),'Other analyst '!X26))-1,LEN('Other analyst '!X26)))),"")</f>
        <v>Malachi Lawrence</v>
      </c>
      <c r="DV26">
        <f>IF(DU26="",0,IF(OR(ISNUMBER(SEARCH(DU26,C26)),ISNUMBER(SEARCH(C26,DU26))),1,0))</f>
        <v>0</v>
      </c>
      <c r="DW26" cm="1">
        <f t="array" ref="DW26">IF(DU26="",0,IF(SUMPRODUCT((ISNUMBER(SEARCH(DU26,$C$2:$C$33))+ISNUMBER(SEARCH($C$2:$C$33,DU26))))&gt;0,1,0))</f>
        <v>1</v>
      </c>
      <c r="DX26">
        <v>0</v>
      </c>
      <c r="DY26" t="str">
        <f>IFERROR(TRIM(LEFT(IF(ISNUMBER(SEARCH("]",'Other analyst '!Y26)),MID('Other analyst '!Y26,SEARCH("]",'Other analyst '!Y26)+1,200),'Other analyst '!Y26),IFERROR(SEARCH(" (",IF(ISNUMBER(SEARCH("]",'Other analyst '!Y26)),MID('Other analyst '!Y26,SEARCH("]",'Other analyst '!Y26)+1,200),'Other analyst '!Y26))-1,LEN('Other analyst '!Y26)))),"")</f>
        <v>Kayden McDonald</v>
      </c>
      <c r="DZ26">
        <f>IF(DY26="",0,IF(OR(ISNUMBER(SEARCH(DY26,C26)),ISNUMBER(SEARCH(C26,DY26))),1,0))</f>
        <v>0</v>
      </c>
      <c r="EA26" cm="1">
        <f t="array" ref="EA26">IF(DY26="",0,IF(SUMPRODUCT((ISNUMBER(SEARCH(DY26,$C$2:$C$33))+ISNUMBER(SEARCH($C$2:$C$33,DY26))))&gt;0,1,0))</f>
        <v>0</v>
      </c>
      <c r="EB26">
        <v>0</v>
      </c>
      <c r="EC26" t="str">
        <f>IFERROR(TRIM(LEFT(IF(ISNUMBER(SEARCH("]",'Other analyst '!Z26)),MID('Other analyst '!Z26,SEARCH("]",'Other analyst '!Z26)+1,200),'Other analyst '!Z26),IFERROR(SEARCH(" (",IF(ISNUMBER(SEARCH("]",'Other analyst '!Z26)),MID('Other analyst '!Z26,SEARCH("]",'Other analyst '!Z26)+1,200),'Other analyst '!Z26))-1,LEN('Other analyst '!Z26)))),"")</f>
        <v>Keldric Faulk</v>
      </c>
      <c r="ED26">
        <f>IF(EC26="",0,IF(OR(ISNUMBER(SEARCH(EC26,C26)),ISNUMBER(SEARCH(C26,EC26))),1,0))</f>
        <v>0</v>
      </c>
      <c r="EE26" cm="1">
        <f t="array" ref="EE26">IF(EC26="",0,IF(SUMPRODUCT((ISNUMBER(SEARCH(EC26,$C$2:$C$33))+ISNUMBER(SEARCH($C$2:$C$33,EC26))))&gt;0,1,0))</f>
        <v>1</v>
      </c>
      <c r="EF26">
        <v>0</v>
      </c>
      <c r="EG26" t="str">
        <f>IFERROR(TRIM(LEFT(IF(ISNUMBER(SEARCH("]",'Other analyst '!AA26)),MID('Other analyst '!AA26,SEARCH("]",'Other analyst '!AA26)+1,200),'Other analyst '!AA26),IFERROR(SEARCH(" (",IF(ISNUMBER(SEARCH("]",'Other analyst '!AA26)),MID('Other analyst '!AA26,SEARCH("]",'Other analyst '!AA26)+1,200),'Other analyst '!AA26))-1,LEN('Other analyst '!AA26)))),"")</f>
        <v>T.J. Parker</v>
      </c>
      <c r="EH26">
        <f>IF(EG26="",0,IF(OR(ISNUMBER(SEARCH(EG26,C26)),ISNUMBER(SEARCH(C26,EG26))),1,0))</f>
        <v>0</v>
      </c>
      <c r="EI26" cm="1">
        <f t="array" ref="EI26">IF(EG26="",0,IF(SUMPRODUCT((ISNUMBER(SEARCH(EG26,$C$2:$C$33))+ISNUMBER(SEARCH($C$2:$C$33,EG26))))&gt;0,1,0))</f>
        <v>0</v>
      </c>
      <c r="EJ26">
        <v>0</v>
      </c>
      <c r="EK26">
        <f>K26+L26+M26+N26+O26+P26+AF26+AI26+AL26+AP26+AT26+AX26+BB26+BF26+BJ26+BN26+BR26+BV26+CD26+CH26+CL26+CP26+CT26+DV26+DZ26+ED26+EH26+DN26+DR26+CX26+DB26+DF26+DJ26</f>
        <v>0</v>
      </c>
    </row>
    <row r="27" spans="1:141">
      <c r="A27" s="30">
        <v>26</v>
      </c>
      <c r="B27" s="30" t="str">
        <f>'Actual nfl first round'!C27</f>
        <v>Texans</v>
      </c>
      <c r="C27" s="31" t="str" cm="1">
        <f t="array" ref="C27">_xlfn.LET(_xlpm.actual, 'Actual nfl first round'!D27,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Keylan Rutledge</v>
      </c>
      <c r="D27" s="32" t="str">
        <f>'Colin''s Mock'!D27</f>
        <v>Caleb Lomu</v>
      </c>
      <c r="E27" s="32" t="str">
        <f>_xlfn.LET(_xlpm.raw, 'Other analyst '!C27, _xlpm.s, IF(LEFT(_xlpm.raw,1)="[", MID(_xlpm.raw, FIND("] ",_xlpm.raw)+2, 999), _xlpm.raw), IFERROR(TRIM(LEFT(_xlpm.s, FIND(" (",_xlpm.s)-1)), _xlpm.raw))</f>
        <v>Malachi Lawrence</v>
      </c>
      <c r="F27" s="32" t="str">
        <f>_xlfn.LET(_xlpm.raw, 'Other analyst '!D27, _xlpm.s, IF(LEFT(_xlpm.raw,1)="[", MID(_xlpm.raw, FIND("] ",_xlpm.raw)+2, 999), _xlpm.raw), IFERROR(TRIM(LEFT(_xlpm.s, FIND(" (",_xlpm.s)-1)), _xlpm.raw))</f>
        <v>Keldric Faulk</v>
      </c>
      <c r="G27" s="32" t="str">
        <f>_xlfn.LET(_xlpm.raw, 'Other analyst '!E27, _xlpm.s, IF(LEFT(_xlpm.raw,1)="[", MID(_xlpm.raw, FIND("] ",_xlpm.raw)+2, 999), _xlpm.raw), IFERROR(TRIM(LEFT(_xlpm.s, FIND(" (",_xlpm.s)-1)), _xlpm.raw))</f>
        <v>Peter Woods</v>
      </c>
      <c r="H27" s="32" t="str">
        <f>_xlfn.LET(_xlpm.raw, 'Other analyst '!F27, _xlpm.s, IF(LEFT(_xlpm.raw,1)="[", MID(_xlpm.raw, FIND("] ",_xlpm.raw)+2, 999), _xlpm.raw), IFERROR(TRIM(LEFT(_xlpm.s, FIND(" (",_xlpm.s)-1)), _xlpm.raw))</f>
        <v>KC Concepcion</v>
      </c>
      <c r="I27" s="32" t="str">
        <f>_xlfn.LET(_xlpm.raw, 'Other analyst '!G27, _xlpm.s, IF(LEFT(_xlpm.raw,1)="[", MID(_xlpm.raw, FIND("] ",_xlpm.raw)+2, 999), _xlpm.raw), IFERROR(TRIM(LEFT(_xlpm.s, FIND(" (",_xlpm.s)-1)), _xlpm.raw))</f>
        <v>Kayden McDonald</v>
      </c>
      <c r="K27" s="1">
        <f t="shared" si="0"/>
        <v>0</v>
      </c>
      <c r="L27" s="1">
        <f t="shared" si="1"/>
        <v>0</v>
      </c>
      <c r="M27" s="1">
        <f t="shared" si="2"/>
        <v>0</v>
      </c>
      <c r="N27" s="1">
        <f t="shared" si="3"/>
        <v>0</v>
      </c>
      <c r="O27" s="1">
        <f t="shared" si="4"/>
        <v>0</v>
      </c>
      <c r="P27" s="1">
        <f t="shared" si="5"/>
        <v>0</v>
      </c>
      <c r="Q27" s="1" cm="1">
        <f t="array" ref="Q27">IF(D27="", 0, IF(SUMPRODUCT(--(ISNUMBER(SEARCH(D27, $C$2:$C$33)) + ISNUMBER(SEARCH($C$2:$C$33, D27))))&gt;0, 1, 0))</f>
        <v>1</v>
      </c>
      <c r="R27" s="1" cm="1">
        <f t="array" ref="R27">IF(E27="", 0, IF(SUMPRODUCT(--(ISNUMBER(SEARCH(E27, $C$2:$C$33)) + ISNUMBER(SEARCH($C$2:$C$33, E27))))&gt;0, 1, 0))</f>
        <v>1</v>
      </c>
      <c r="S27" s="1" cm="1">
        <f t="array" ref="S27">IF(F27="", 0, IF(SUMPRODUCT(--(ISNUMBER(SEARCH(F27, $C$2:$C$33)) + ISNUMBER(SEARCH($C$2:$C$33, F27))))&gt;0, 1, 0))</f>
        <v>1</v>
      </c>
      <c r="T27" s="1" cm="1">
        <f t="array" ref="T27">IF(G27="", 0, IF(SUMPRODUCT(--(ISNUMBER(SEARCH(G27, $C$2:$C$33)) + ISNUMBER(SEARCH($C$2:$C$33, G27))))&gt;0, 1, 0))</f>
        <v>1</v>
      </c>
      <c r="U27" s="1" cm="1">
        <f t="array" ref="U27">IF(H27="", 0, IF(SUMPRODUCT(--(ISNUMBER(SEARCH(H27, $C$2:$C$33)) + ISNUMBER(SEARCH($C$2:$C$33, H27))))&gt;0, 1, 0))</f>
        <v>1</v>
      </c>
      <c r="V27" s="1" cm="1">
        <f t="array" ref="V27">IF(I27="", 0, IF(SUMPRODUCT(--(ISNUMBER(SEARCH(I27, $C$2:$C$33)) + ISNUMBER(SEARCH($C$2:$C$33, I27))))&gt;0, 1, 0))</f>
        <v>0</v>
      </c>
      <c r="W27" s="1" cm="1">
        <f t="array" ref="W27">IF(D27="",0,IF(SUMPRODUCT((ISNUMBER(SEARCH(D27,$C$2:$C$33))+ISNUMBER(SEARCH($C$2:$C$33,D27)))*($B$2:$B$33=$B27))&gt;0,1,0))</f>
        <v>0</v>
      </c>
      <c r="X27" s="1" cm="1">
        <f t="array" ref="X27">IF(E27="",0,IF(SUMPRODUCT((ISNUMBER(SEARCH(E27,$C$2:$C$33))+ISNUMBER(SEARCH($C$2:$C$33,E27)))*($B$2:$B$33=$B27))&gt;0,1,0))</f>
        <v>0</v>
      </c>
      <c r="Y27" s="1" cm="1">
        <f t="array" ref="Y27">IF(F27="",0,IF(SUMPRODUCT((ISNUMBER(SEARCH(F27,$C$2:$C$33))+ISNUMBER(SEARCH($C$2:$C$33,F27)))*($B$2:$B$33=$B27))&gt;0,1,0))</f>
        <v>0</v>
      </c>
      <c r="Z27" s="1" cm="1">
        <f t="array" ref="Z27">IF(G27="",0,IF(SUMPRODUCT((ISNUMBER(SEARCH(G27,$C$2:$C$33))+ISNUMBER(SEARCH($C$2:$C$33,G27)))*($B$2:$B$33=$B27))&gt;0,1,0))</f>
        <v>0</v>
      </c>
      <c r="AA27" s="1" cm="1">
        <f t="array" ref="AA27">IF(H27="",0,IF(SUMPRODUCT((ISNUMBER(SEARCH(H27,$C$2:$C$33))+ISNUMBER(SEARCH($C$2:$C$33,H27)))*($B$2:$B$33=$B27))&gt;0,1,0))</f>
        <v>0</v>
      </c>
      <c r="AB27" s="1" cm="1">
        <f t="array" ref="AB27">IF(I27="",0,IF(SUMPRODUCT((ISNUMBER(SEARCH(I27,$C$2:$C$33))+ISNUMBER(SEARCH($C$2:$C$33,I27)))*($B$2:$B$33=$B27))&gt;0,1,0))</f>
        <v>0</v>
      </c>
      <c r="AC27" s="36" t="s">
        <v>69</v>
      </c>
      <c r="AD27" s="28" t="s">
        <v>209</v>
      </c>
      <c r="AE27" s="28" t="s">
        <v>99</v>
      </c>
      <c r="AF27">
        <f t="shared" si="6"/>
        <v>0</v>
      </c>
      <c r="AG27" cm="1">
        <f t="array" ref="AG27">IF(AC27="",0,IF(SUMPRODUCT((ISNUMBER(SEARCH(AC27,$C$2:$C$33))+ISNUMBER(SEARCH($C$2:$C$33,AC27))))&gt;0,1,0))</f>
        <v>1</v>
      </c>
      <c r="AH27" cm="1">
        <f t="array" ref="AH27">IF(AC27="",0,IF(SUMPRODUCT((ISNUMBER(SEARCH(AC27,$C$2:$C$33))+ISNUMBER(SEARCH($C$2:$C$33,AC27)))*($B$2:$B$33=$B27))&gt;0,1,0))</f>
        <v>0</v>
      </c>
      <c r="AI27">
        <f t="shared" si="7"/>
        <v>0</v>
      </c>
      <c r="AJ27" cm="1">
        <f t="array" ref="AJ27">IF(AD27="",0,IF(SUMPRODUCT((ISNUMBER(SEARCH(AD27,$C$2:$C$33))+ISNUMBER(SEARCH($C$2:$C$33,AD27))))&gt;0,1,0))</f>
        <v>0</v>
      </c>
      <c r="AK27" cm="1">
        <f t="array" ref="AK27">IF(AD27="",0,IF(SUMPRODUCT((ISNUMBER(SEARCH(AD27,$C$2:$C$33))+ISNUMBER(SEARCH($C$2:$C$33,AD27)))*($B$2:$B$33=$B27))&gt;0,1,0))</f>
        <v>0</v>
      </c>
      <c r="AL27">
        <f t="shared" si="8"/>
        <v>0</v>
      </c>
      <c r="AM27" cm="1">
        <f t="array" ref="AM27">IF(AE27="",0,IF(SUMPRODUCT((ISNUMBER(SEARCH(AE27,$C$2:$C$33))+ISNUMBER(SEARCH($C$2:$C$33,AE27))))&gt;0,1,0))</f>
        <v>0</v>
      </c>
      <c r="AN27" cm="1">
        <f t="array" ref="AN27">IF(AE27="",0,IF(SUMPRODUCT((ISNUMBER(SEARCH(AE27,$C$2:$C$33))+ISNUMBER(SEARCH($C$2:$C$33,AE27)))*($B$2:$B$33=$B27))&gt;0,1,0))</f>
        <v>0</v>
      </c>
      <c r="AO27" s="65" t="str" cm="1">
        <f t="array" ref="AO27">_xlfn.LET(_xlpm.raw,'Other analyst '!K27,_xlpm.mockNames,'Colin''s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Jacob Rodriguez</v>
      </c>
      <c r="AP27">
        <f>IF(OR(AO27="",AO27=0),0,IF(OR(ISNUMBER(SEARCH(AO27,$C27)),ISNUMBER(SEARCH($C27,AO27))),1,0))</f>
        <v>0</v>
      </c>
      <c r="AQ27" cm="1">
        <f t="array" ref="AQ27">IF(OR(AO27="",AO27=0),0,IF(SUMPRODUCT(--(ISNUMBER(SEARCH(AO27,$C$2:$C$33))+ISNUMBER(SEARCH($C$2:$C$33,AO27))))&gt;0,1,0))</f>
        <v>0</v>
      </c>
      <c r="AR27" cm="1">
        <f t="array" ref="AR27">IF(OR(AO27="",AO27=0),0,IF(SUMPRODUCT((ISNUMBER(SEARCH(AO27,$C$2:$C$33))+ISNUMBER(SEARCH($C$2:$C$33,AO27)))*($B$2:$B$33=$B27))&gt;0,1,0))</f>
        <v>0</v>
      </c>
      <c r="AS27" s="65" t="str" cm="1">
        <f t="array" ref="AS27">_xlfn.LET(_xlpm.raw,'Other analyst '!L27,_xlpm.mockNames,'Colin''s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C.J. Allen</v>
      </c>
      <c r="AT27">
        <f>IF(OR(AS27="",AS27=0),0,IF(OR(ISNUMBER(SEARCH(AS27,$C27)),ISNUMBER(SEARCH($C27,AS27))),1,0))</f>
        <v>0</v>
      </c>
      <c r="AU27" cm="1">
        <f t="array" ref="AU27">IF(OR(AS27="",AS27=0),0,IF(SUMPRODUCT(--(ISNUMBER(SEARCH(AS27,$C$2:$C$33))+ISNUMBER(SEARCH($C$2:$C$33,AS27))))&gt;0,1,0))</f>
        <v>0</v>
      </c>
      <c r="AV27" cm="1">
        <f t="array" ref="AV27">IF(OR(AS27="",AS27=0),0,IF(SUMPRODUCT((ISNUMBER(SEARCH(AS27,$C$2:$C$33))+ISNUMBER(SEARCH($C$2:$C$33,AS27)))*($B$2:$B$33=$B27))&gt;0,1,0))</f>
        <v>0</v>
      </c>
      <c r="AW27" s="65" t="str" cm="1">
        <f t="array" ref="AW27">_xlfn.LET(_xlpm.raw,'Other analyst '!M27,_xlpm.mockNames,'Colin''s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Kayden McDonald</v>
      </c>
      <c r="AX27">
        <f>IF(OR(AW27="",AW27=0),0,IF(OR(ISNUMBER(SEARCH(AW27,$C27)),ISNUMBER(SEARCH($C27,AW27))),1,0))</f>
        <v>0</v>
      </c>
      <c r="AY27" cm="1">
        <f t="array" ref="AY27">IF(OR(AW27="",AW27=0),0,IF(SUMPRODUCT(--(ISNUMBER(SEARCH(AW27,$C$2:$C$33))+ISNUMBER(SEARCH($C$2:$C$33,AW27))))&gt;0,1,0))</f>
        <v>0</v>
      </c>
      <c r="AZ27" cm="1">
        <f t="array" ref="AZ27">IF(OR(AW27="",AW27=0),0,IF(SUMPRODUCT((ISNUMBER(SEARCH(AW27,$C$2:$C$33))+ISNUMBER(SEARCH($C$2:$C$33,AW27)))*($B$2:$B$33=$B27))&gt;0,1,0))</f>
        <v>0</v>
      </c>
      <c r="BA27" s="64" t="str" cm="1">
        <f t="array" ref="BA27">_xlfn.LET(_xlpm.raw,'Other analyst '!N27,_xlpm.mockNames,'Colin''s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Blake Miller</v>
      </c>
      <c r="BB27">
        <f>IF(OR(BA27="",BA27=0),0,IF(OR(ISNUMBER(SEARCH(BA27,$C27)),ISNUMBER(SEARCH($C27,BA27))),1,0))</f>
        <v>0</v>
      </c>
      <c r="BC27" cm="1">
        <f t="array" ref="BC27">IF(OR(BA27="",BA27=0),0,IF(SUMPRODUCT(--(ISNUMBER(SEARCH(BA27,$C$2:$C$33))+ISNUMBER(SEARCH($C$2:$C$33,BA27))))&gt;0,1,0))</f>
        <v>1</v>
      </c>
      <c r="BD27" cm="1">
        <f t="array" ref="BD27">IF(OR(BA27="",BA27=0),0,IF(SUMPRODUCT((ISNUMBER(SEARCH(BA27,$C$2:$C$33))+ISNUMBER(SEARCH($C$2:$C$33,BA27)))*($B$2:$B$33=$B27))&gt;0,1,0))</f>
        <v>0</v>
      </c>
      <c r="BE27" s="65" t="str" cm="1">
        <f t="array" ref="BE27">_xlfn.LET(_xlpm.raw,'Other analyst '!O27,_xlpm.mockNames,'Colin''s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Cashius Howell</v>
      </c>
      <c r="BF27">
        <f>IF(OR(BE27="",BE27=0),0,IF(OR(ISNUMBER(SEARCH(BE27,$C27)),ISNUMBER(SEARCH($C27,BE27))),1,0))</f>
        <v>0</v>
      </c>
      <c r="BG27" cm="1">
        <f t="array" ref="BG27">IF(OR(BE27="",BE27=0),0,IF(SUMPRODUCT(--(ISNUMBER(SEARCH(BE27,$C$2:$C$33))+ISNUMBER(SEARCH($C$2:$C$33,BE27))))&gt;0,1,0))</f>
        <v>0</v>
      </c>
      <c r="BH27" cm="1">
        <f t="array" ref="BH27">IF(OR(BE27="",BE27=0),0,IF(SUMPRODUCT((ISNUMBER(SEARCH(BE27,$C$2:$C$33))+ISNUMBER(SEARCH($C$2:$C$33,BE27)))*($B$2:$B$33=$B27))&gt;0,1,0))</f>
        <v>0</v>
      </c>
      <c r="BI27" s="64" t="str" cm="1">
        <f t="array" ref="BI27">_xlfn.LET(_xlpm.raw,'Other analyst '!P27,_xlpm.mockNames,'Colin''s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KC Concepcion</v>
      </c>
      <c r="BJ27">
        <f>IF(OR(BI27="",BI27=0),0,IF(OR(ISNUMBER(SEARCH(BI27,$C27)),ISNUMBER(SEARCH($C27,BI27))),1,0))</f>
        <v>0</v>
      </c>
      <c r="BK27" cm="1">
        <f t="array" ref="BK27">IF(OR(BI27="",BI27=0),0,IF(SUMPRODUCT(--(ISNUMBER(SEARCH(BI27,$C$2:$C$33))+ISNUMBER(SEARCH($C$2:$C$33,BI27))))&gt;0,1,0))</f>
        <v>1</v>
      </c>
      <c r="BL27" cm="1">
        <f t="array" ref="BL27">IF(OR(BI27="",BI27=0),0,IF(SUMPRODUCT((ISNUMBER(SEARCH(BI27,$C$2:$C$33))+ISNUMBER(SEARCH($C$2:$C$33,BI27)))*($B$2:$B$33=$B27))&gt;0,1,0))</f>
        <v>0</v>
      </c>
      <c r="BM27" s="65" t="str" cm="1">
        <f t="array" ref="BM27">_xlfn.LET(_xlpm.raw,'Other analyst '!Q27,_xlpm.mockNames,'Colin''s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R Mason Thomas</v>
      </c>
      <c r="BN27">
        <f>IF(OR(BM27="",BM27=0),0,IF(OR(ISNUMBER(SEARCH(BM27,$C27)),ISNUMBER(SEARCH($C27,BM27))),1,0))</f>
        <v>0</v>
      </c>
      <c r="BO27" cm="1">
        <f t="array" ref="BO27">IF(OR(BM27="",BM27=0),0,IF(SUMPRODUCT(--(ISNUMBER(SEARCH(BM27,$C$2:$C$33))+ISNUMBER(SEARCH($C$2:$C$33,BM27))))&gt;0,1,0))</f>
        <v>0</v>
      </c>
      <c r="BP27" cm="1">
        <f t="array" ref="BP27">IF(OR(BM27="",BM27=0),0,IF(SUMPRODUCT((ISNUMBER(SEARCH(BM27,$C$2:$C$33))+ISNUMBER(SEARCH($C$2:$C$33,BM27)))*($B$2:$B$33=$B27))&gt;0,1,0))</f>
        <v>0</v>
      </c>
      <c r="BQ27" s="64" t="str" cm="1">
        <f t="array" ref="BQ27">_xlfn.LET(_xlpm.raw,'Other analyst '!R27,_xlpm.mockNames,'Colin''s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Omar Cooper Jr.</v>
      </c>
      <c r="BR27">
        <f>IF(OR(BQ27="",BQ27=0),0,IF(OR(ISNUMBER(SEARCH(BQ27,$C27)),ISNUMBER(SEARCH($C27,BQ27))),1,0))</f>
        <v>0</v>
      </c>
      <c r="BS27" cm="1">
        <f t="array" ref="BS27">IF(OR(BQ27="",BQ27=0),0,IF(SUMPRODUCT(--(ISNUMBER(SEARCH(BQ27,$C$2:$C$33))+ISNUMBER(SEARCH($C$2:$C$33,BQ27))))&gt;0,1,0))</f>
        <v>1</v>
      </c>
      <c r="BT27" cm="1">
        <f t="array" ref="BT27">IF(OR(BQ27="",BQ27=0),0,IF(SUMPRODUCT((ISNUMBER(SEARCH(BQ27,$C$2:$C$33))+ISNUMBER(SEARCH($C$2:$C$33,BQ27)))*($B$2:$B$33=$B27))&gt;0,1,0))</f>
        <v>0</v>
      </c>
      <c r="BU27" s="76" t="str">
        <f>'Colin Mock wTrade'!D27</f>
        <v>Caleb Lomu</v>
      </c>
      <c r="BV27">
        <f>IF(BU27="",0,IF(OR(ISNUMBER(SEARCH(BU27,C27)),ISNUMBER(SEARCH(C27,BU27))),1,0))</f>
        <v>0</v>
      </c>
      <c r="BW27" cm="1">
        <f t="array" ref="BW27">IF(BU27="",0,IF(SUMPRODUCT(--(ISNUMBER(SEARCH(BU27,$C$2:$C$33))+ISNUMBER(SEARCH($C$2:$C$33,BU27))))&gt;0,1,0))</f>
        <v>1</v>
      </c>
      <c r="BX27" cm="1">
        <f t="array" ref="BX27">IF(BU27="",0,IFERROR(IF(SUMPRODUCT((ISNUMBER(SEARCH(BU27,$C$2:$C$33))+ISNUMBER(SEARCH($C$2:$C$33,BU27)))*($B$2:$B$33=VLOOKUP('Colin Mock wTrade'!C27,$CA$1:$CB$32,2,FALSE)))&gt;0,1,0),0))</f>
        <v>0</v>
      </c>
      <c r="CA27" t="s">
        <v>119</v>
      </c>
      <c r="CB27" t="s">
        <v>700</v>
      </c>
      <c r="CC27" t="str">
        <f>'Other analyst '!S27</f>
        <v>Cashius Howell</v>
      </c>
      <c r="CD27">
        <f t="shared" si="9"/>
        <v>0</v>
      </c>
      <c r="CE27" cm="1">
        <f t="array" ref="CE27">IF(CC27="",0,IF(SUMPRODUCT(--(ISNUMBER(SEARCH(CC27,$C$2:$C$33))+ISNUMBER(SEARCH($C$2:$C$33,CC27))))&gt;0,1,0))</f>
        <v>0</v>
      </c>
      <c r="CF27" cm="1">
        <f t="array" ref="CF27">IF(CC27="",0,IF(SUMPRODUCT((ISNUMBER(SEARCH(CC27,$C$2:$C$33))+ISNUMBER(SEARCH($C$2:$C$33,CC27)))*($B$2:$B$33=$B27))&gt;0,1,0))</f>
        <v>0</v>
      </c>
      <c r="CG27" t="str">
        <f>'Other analyst '!T27</f>
        <v>TJ Parker</v>
      </c>
      <c r="CH27">
        <f t="shared" si="10"/>
        <v>0</v>
      </c>
      <c r="CI27" cm="1">
        <f t="array" ref="CI27">IF(CG27="",0,IF(SUMPRODUCT(--(ISNUMBER(SEARCH(CG27,$C$2:$C$33))+ISNUMBER(SEARCH($C$2:$C$33,CG27))))&gt;0,1,0))</f>
        <v>0</v>
      </c>
      <c r="CJ27" cm="1">
        <f t="array" ref="CJ27">IF(CG27="",0,IF(SUMPRODUCT((ISNUMBER(SEARCH(CG27,$C$2:$C$33))+ISNUMBER(SEARCH($C$2:$C$33,CG27)))*($B$2:$B$33=$B27))&gt;0,1,0))</f>
        <v>0</v>
      </c>
      <c r="CK27" t="str">
        <f>'Other analyst '!U27</f>
        <v>Kayden McDonald</v>
      </c>
      <c r="CL27">
        <f t="shared" si="11"/>
        <v>0</v>
      </c>
      <c r="CM27" cm="1">
        <f t="array" ref="CM27">IF(CK27="",0,IF(SUMPRODUCT(--(ISNUMBER(SEARCH(CK27,$C$2:$C$33))+ISNUMBER(SEARCH($C$2:$C$33,CK27))))&gt;0,1,0))</f>
        <v>0</v>
      </c>
      <c r="CN27" cm="1">
        <f t="array" ref="CN27">IF(CK27="",0,IF(SUMPRODUCT((ISNUMBER(SEARCH(CK27,$C$2:$C$33))+ISNUMBER(SEARCH($C$2:$C$33,CK27)))*($B$2:$B$33=$B27))&gt;0,1,0))</f>
        <v>0</v>
      </c>
      <c r="CO27" t="str">
        <f>'Other analyst '!V27</f>
        <v>Anthony Smith</v>
      </c>
      <c r="CP27">
        <f t="shared" si="12"/>
        <v>0</v>
      </c>
      <c r="CQ27" cm="1">
        <f t="array" ref="CQ27">IF(CO27="",0,IF(SUMPRODUCT(--(ISNUMBER(SEARCH(CO27,$C$2:$C$33))+ISNUMBER(SEARCH($C$2:$C$33,CO27))))&gt;0,1,0))</f>
        <v>0</v>
      </c>
      <c r="CR27" cm="1">
        <f t="array" ref="CR27">IF(CO27="",0,IF(SUMPRODUCT((ISNUMBER(SEARCH(CO27,$C$2:$C$33))+ISNUMBER(SEARCH($C$2:$C$33,CO27)))*($B$2:$B$33=$B27))&gt;0,1,0))</f>
        <v>0</v>
      </c>
      <c r="CS27" s="36" t="str">
        <f>'Other analyst '!W27</f>
        <v>Akheem Mesidor</v>
      </c>
      <c r="CT27">
        <f t="shared" si="13"/>
        <v>0</v>
      </c>
      <c r="CU27" cm="1">
        <f t="array" ref="CU27">IF(CS27="",0,IF(SUMPRODUCT(--(ISNUMBER(SEARCH(CS27,$C$2:$C$33))+ISNUMBER(SEARCH($C$2:$C$33,CS27))))&gt;0,1,0))</f>
        <v>1</v>
      </c>
      <c r="CV27" cm="1">
        <f t="array" ref="CV27">IF(CS27="",0,IFERROR(IF(SUMPRODUCT((ISNUMBER(SEARCH(CS27,$C$2:$C$33))+ISNUMBER(SEARCH($C$2:$C$33,CS27)))*(ISNUMBER(SEARCH($B$2:$B$33,'Other analyst '!B27))+ISNUMBER(SEARCH('Other analyst '!B27,$B$2:$B$33))))&gt;0,1,0),0))</f>
        <v>0</v>
      </c>
      <c r="CW27" s="36" t="str">
        <f>'Other analyst '!AD27</f>
        <v>C.J. Allen</v>
      </c>
      <c r="CX27">
        <f t="shared" si="14"/>
        <v>0</v>
      </c>
      <c r="CY27" cm="1">
        <f t="array" ref="CY27">IF(CW27="",0,IF(SUMPRODUCT(--(ISNUMBER(SEARCH(CW27,$C$2:$C$33))+ISNUMBER(SEARCH($C$2:$C$33,CW27))))&gt;0,1,0))</f>
        <v>0</v>
      </c>
      <c r="CZ27" cm="1">
        <f t="array" ref="CZ27">IF(CW27="",0,IF(SUMPRODUCT((ISNUMBER(SEARCH(CW27,$C$2:$C$33))+ISNUMBER(SEARCH($C$2:$C$33,CW27)))*($B$2:$B$33=$B27))&gt;0,1,0))</f>
        <v>0</v>
      </c>
      <c r="DA27" s="36" t="str">
        <f>'Other analyst '!AE27</f>
        <v>Keldric Faulk</v>
      </c>
      <c r="DB27">
        <f t="shared" si="15"/>
        <v>0</v>
      </c>
      <c r="DC27" cm="1">
        <f t="array" ref="DC27">IF(DA27="",0,IF(SUMPRODUCT(--(ISNUMBER(SEARCH(DA27,$C$2:$C$33))+ISNUMBER(SEARCH($C$2:$C$33,DA27))))&gt;0,1,0))</f>
        <v>1</v>
      </c>
      <c r="DD27" cm="1">
        <f t="array" ref="DD27">IF(DA27="",0,IF(SUMPRODUCT((ISNUMBER(SEARCH(DA27,$C$2:$C$33))+ISNUMBER(SEARCH($C$2:$C$33,DA27)))*($B$2:$B$33=$B27))&gt;0,1,0))</f>
        <v>0</v>
      </c>
      <c r="DE27" s="36" t="str">
        <f>'Other analyst '!AF27</f>
        <v>Chase Bisontis</v>
      </c>
      <c r="DF27">
        <f t="shared" si="16"/>
        <v>0</v>
      </c>
      <c r="DG27" cm="1">
        <f t="array" ref="DG27">IF(DE27="",0,IF(SUMPRODUCT(--(ISNUMBER(SEARCH(DE27,$C$2:$C$33))+ISNUMBER(SEARCH($C$2:$C$33,DE27))))&gt;0,1,0))</f>
        <v>0</v>
      </c>
      <c r="DH27" cm="1">
        <f t="array" ref="DH27">IF(DE27="",0,IF(SUMPRODUCT((ISNUMBER(SEARCH(DE27,$C$2:$C$33))+ISNUMBER(SEARCH($C$2:$C$33,DE27)))*($B$2:$B$33=$B27))&gt;0,1,0))</f>
        <v>0</v>
      </c>
      <c r="DI27" s="28" t="str">
        <f>'Other analyst '!AG27</f>
        <v>Malachi Lawrence</v>
      </c>
      <c r="DJ27">
        <f t="shared" si="17"/>
        <v>0</v>
      </c>
      <c r="DK27" cm="1">
        <f t="array" ref="DK27">IF(DI27="",0,IF(SUMPRODUCT(--(ISNUMBER(SEARCH(DI27,$C$2:$C$33))+ISNUMBER(SEARCH($C$2:$C$33,DI27))))&gt;0,1,0))</f>
        <v>1</v>
      </c>
      <c r="DL27" cm="1">
        <f t="array" ref="DL27">IF(DI27="",0,IF(SUMPRODUCT((ISNUMBER(SEARCH(DI27,$C$2:$C$33))+ISNUMBER(SEARCH($C$2:$C$33,DI27)))*($B$2:$B$33=$B27))&gt;0,1,0))</f>
        <v>0</v>
      </c>
      <c r="DM27" s="36" t="str">
        <f>'Other analyst '!AB27</f>
        <v>Malachi Lawrence</v>
      </c>
      <c r="DN27">
        <f t="shared" si="18"/>
        <v>0</v>
      </c>
      <c r="DO27" cm="1">
        <f t="array" ref="DO27">IF(DM27="",0,IF(SUMPRODUCT(--(ISNUMBER(SEARCH(DM27,$C$2:$C$33))+ISNUMBER(SEARCH($C$2:$C$33,DM27))))&gt;0,1,0))</f>
        <v>1</v>
      </c>
      <c r="DP27" cm="1">
        <f t="array" ref="DP27">IF(DM27="",0,IFERROR(IF(SUMPRODUCT((ISNUMBER(SEARCH(DM27,$C$2:$C$33))+ISNUMBER(SEARCH($C$2:$C$33,DM27)))*(ISNUMBER(SEARCH($B$2:$B$33,'Other analyst '!B27))+ISNUMBER(SEARCH('Other analyst '!B27,$B$2:$B$33))))&gt;0,1,0),0))</f>
        <v>0</v>
      </c>
      <c r="DQ27" s="28" t="str">
        <f>'Other analyst '!AC27</f>
        <v>Cashius Howell</v>
      </c>
      <c r="DR27">
        <f t="shared" si="19"/>
        <v>0</v>
      </c>
      <c r="DS27" cm="1">
        <f t="array" ref="DS27">IF(DQ27="",0,IF(SUMPRODUCT(--(ISNUMBER(SEARCH(DQ27,$C$2:$C$33))+ISNUMBER(SEARCH($C$2:$C$33,DQ27))))&gt;0,1,0))</f>
        <v>0</v>
      </c>
      <c r="DT27" cm="1">
        <f t="array" ref="DT27">IF(DQ27="",0,IFERROR(IF(SUMPRODUCT((ISNUMBER(SEARCH(DQ27,$C$2:$C$33))+ISNUMBER(SEARCH($C$2:$C$33,DQ27)))*(ISNUMBER(SEARCH($B$2:$B$33,'Other analyst '!B27))+ISNUMBER(SEARCH('Other analyst '!B27,$B$2:$B$33))))&gt;0,1,0),0))</f>
        <v>0</v>
      </c>
      <c r="DU27" t="str">
        <f>IFERROR(TRIM(LEFT(IF(ISNUMBER(SEARCH("]",'Other analyst '!X27)),MID('Other analyst '!X27,SEARCH("]",'Other analyst '!X27)+1,200),'Other analyst '!X27),IFERROR(SEARCH(" (",IF(ISNUMBER(SEARCH("]",'Other analyst '!X27)),MID('Other analyst '!X27,SEARCH("]",'Other analyst '!X27)+1,200),'Other analyst '!X27))-1,LEN('Other analyst '!X27)))),"")</f>
        <v>KC Concepcion</v>
      </c>
      <c r="DV27">
        <f>IF(DU27="",0,IF(OR(ISNUMBER(SEARCH(DU27,C27)),ISNUMBER(SEARCH(C27,DU27))),1,0))</f>
        <v>0</v>
      </c>
      <c r="DW27" cm="1">
        <f t="array" ref="DW27">IF(DU27="",0,IF(SUMPRODUCT((ISNUMBER(SEARCH(DU27,$C$2:$C$33))+ISNUMBER(SEARCH($C$2:$C$33,DU27))))&gt;0,1,0))</f>
        <v>1</v>
      </c>
      <c r="DX27">
        <v>0</v>
      </c>
      <c r="DY27" t="str">
        <f>IFERROR(TRIM(LEFT(IF(ISNUMBER(SEARCH("]",'Other analyst '!Y27)),MID('Other analyst '!Y27,SEARCH("]",'Other analyst '!Y27)+1,200),'Other analyst '!Y27),IFERROR(SEARCH(" (",IF(ISNUMBER(SEARCH("]",'Other analyst '!Y27)),MID('Other analyst '!Y27,SEARCH("]",'Other analyst '!Y27)+1,200),'Other analyst '!Y27))-1,LEN('Other analyst '!Y27)))),"")</f>
        <v>Ty Simpson</v>
      </c>
      <c r="DZ27">
        <f>IF(DY27="",0,IF(OR(ISNUMBER(SEARCH(DY27,C27)),ISNUMBER(SEARCH(C27,DY27))),1,0))</f>
        <v>0</v>
      </c>
      <c r="EA27" cm="1">
        <f t="array" ref="EA27">IF(DY27="",0,IF(SUMPRODUCT((ISNUMBER(SEARCH(DY27,$C$2:$C$33))+ISNUMBER(SEARCH($C$2:$C$33,DY27))))&gt;0,1,0))</f>
        <v>1</v>
      </c>
      <c r="EB27">
        <v>0</v>
      </c>
      <c r="EC27" t="str">
        <f>IFERROR(TRIM(LEFT(IF(ISNUMBER(SEARCH("]",'Other analyst '!Z27)),MID('Other analyst '!Z27,SEARCH("]",'Other analyst '!Z27)+1,200),'Other analyst '!Z27),IFERROR(SEARCH(" (",IF(ISNUMBER(SEARCH("]",'Other analyst '!Z27)),MID('Other analyst '!Z27,SEARCH("]",'Other analyst '!Z27)+1,200),'Other analyst '!Z27))-1,LEN('Other analyst '!Z27)))),"")</f>
        <v>KC Concepcion</v>
      </c>
      <c r="ED27">
        <f>IF(EC27="",0,IF(OR(ISNUMBER(SEARCH(EC27,C27)),ISNUMBER(SEARCH(C27,EC27))),1,0))</f>
        <v>0</v>
      </c>
      <c r="EE27" cm="1">
        <f t="array" ref="EE27">IF(EC27="",0,IF(SUMPRODUCT((ISNUMBER(SEARCH(EC27,$C$2:$C$33))+ISNUMBER(SEARCH($C$2:$C$33,EC27))))&gt;0,1,0))</f>
        <v>1</v>
      </c>
      <c r="EF27">
        <v>0</v>
      </c>
      <c r="EG27" t="str">
        <f>IFERROR(TRIM(LEFT(IF(ISNUMBER(SEARCH("]",'Other analyst '!AA27)),MID('Other analyst '!AA27,SEARCH("]",'Other analyst '!AA27)+1,200),'Other analyst '!AA27),IFERROR(SEARCH(" (",IF(ISNUMBER(SEARCH("]",'Other analyst '!AA27)),MID('Other analyst '!AA27,SEARCH("]",'Other analyst '!AA27)+1,200),'Other analyst '!AA27))-1,LEN('Other analyst '!AA27)))),"")</f>
        <v>C.J. Allen</v>
      </c>
      <c r="EH27">
        <f>IF(EG27="",0,IF(OR(ISNUMBER(SEARCH(EG27,C27)),ISNUMBER(SEARCH(C27,EG27))),1,0))</f>
        <v>0</v>
      </c>
      <c r="EI27" cm="1">
        <f t="array" ref="EI27">IF(EG27="",0,IF(SUMPRODUCT((ISNUMBER(SEARCH(EG27,$C$2:$C$33))+ISNUMBER(SEARCH($C$2:$C$33,EG27))))&gt;0,1,0))</f>
        <v>0</v>
      </c>
      <c r="EJ27">
        <v>0</v>
      </c>
      <c r="EK27">
        <f>K27+L27+M27+N27+O27+P27+AF27+AI27+AL27+AP27+AT27+AX27+BB27+BF27+BJ27+BN27+BR27+BV27+CD27+CH27+CL27+CP27+CT27+DV27+DZ27+ED27+EH27+DN27+DR27+CX27+DB27+DF27+DJ27</f>
        <v>0</v>
      </c>
    </row>
    <row r="28" spans="1:141">
      <c r="A28" s="30">
        <v>27</v>
      </c>
      <c r="B28" s="30" t="str">
        <f>'Actual nfl first round'!C28</f>
        <v>Dolphins</v>
      </c>
      <c r="C28" s="31" t="str" cm="1">
        <f t="array" ref="C28">_xlfn.LET(_xlpm.actual, 'Actual nfl first round'!D28,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Chris Johnson</v>
      </c>
      <c r="D28" s="32" t="str">
        <f>'Colin''s Mock'!D28</f>
        <v>Max Iheanachor</v>
      </c>
      <c r="E28" s="32" t="str">
        <f>_xlfn.LET(_xlpm.raw, 'Other analyst '!C28, _xlpm.s, IF(LEFT(_xlpm.raw,1)="[", MID(_xlpm.raw, FIND("] ",_xlpm.raw)+2, 999), _xlpm.raw), IFERROR(TRIM(LEFT(_xlpm.s, FIND(" (",_xlpm.s)-1)), _xlpm.raw))</f>
        <v>Omar Cooper Jr.</v>
      </c>
      <c r="F28" s="32" t="str">
        <f>_xlfn.LET(_xlpm.raw, 'Other analyst '!D28, _xlpm.s, IF(LEFT(_xlpm.raw,1)="[", MID(_xlpm.raw, FIND("] ",_xlpm.raw)+2, 999), _xlpm.raw), IFERROR(TRIM(LEFT(_xlpm.s, FIND(" (",_xlpm.s)-1)), _xlpm.raw))</f>
        <v>Max Iheanachor</v>
      </c>
      <c r="G28" s="32" t="str">
        <f>_xlfn.LET(_xlpm.raw, 'Other analyst '!E28, _xlpm.s, IF(LEFT(_xlpm.raw,1)="[", MID(_xlpm.raw, FIND("] ",_xlpm.raw)+2, 999), _xlpm.raw), IFERROR(TRIM(LEFT(_xlpm.s, FIND(" (",_xlpm.s)-1)), _xlpm.raw))</f>
        <v>Caleb Lomu</v>
      </c>
      <c r="H28" s="32" t="str">
        <f>_xlfn.LET(_xlpm.raw, 'Other analyst '!F28, _xlpm.s, IF(LEFT(_xlpm.raw,1)="[", MID(_xlpm.raw, FIND("] ",_xlpm.raw)+2, 999), _xlpm.raw), IFERROR(TRIM(LEFT(_xlpm.s, FIND(" (",_xlpm.s)-1)), _xlpm.raw))</f>
        <v>Emmanuel McNeil-Warren</v>
      </c>
      <c r="I28" s="32" t="str">
        <f>_xlfn.LET(_xlpm.raw, 'Other analyst '!G28, _xlpm.s, IF(LEFT(_xlpm.raw,1)="[", MID(_xlpm.raw, FIND("] ",_xlpm.raw)+2, 999), _xlpm.raw), IFERROR(TRIM(LEFT(_xlpm.s, FIND(" (",_xlpm.s)-1)), _xlpm.raw))</f>
        <v>Malachi Lawrence</v>
      </c>
      <c r="K28" s="1">
        <f t="shared" si="0"/>
        <v>0</v>
      </c>
      <c r="L28" s="1">
        <f t="shared" si="1"/>
        <v>0</v>
      </c>
      <c r="M28" s="1">
        <f t="shared" si="2"/>
        <v>0</v>
      </c>
      <c r="N28" s="1">
        <f t="shared" si="3"/>
        <v>0</v>
      </c>
      <c r="O28" s="1">
        <f t="shared" si="4"/>
        <v>0</v>
      </c>
      <c r="P28" s="1">
        <f t="shared" si="5"/>
        <v>0</v>
      </c>
      <c r="Q28" s="1" cm="1">
        <f t="array" ref="Q28">IF(D28="", 0, IF(SUMPRODUCT(--(ISNUMBER(SEARCH(D28, $C$2:$C$33)) + ISNUMBER(SEARCH($C$2:$C$33, D28))))&gt;0, 1, 0))</f>
        <v>1</v>
      </c>
      <c r="R28" s="1" cm="1">
        <f t="array" ref="R28">IF(E28="", 0, IF(SUMPRODUCT(--(ISNUMBER(SEARCH(E28, $C$2:$C$33)) + ISNUMBER(SEARCH($C$2:$C$33, E28))))&gt;0, 1, 0))</f>
        <v>1</v>
      </c>
      <c r="S28" s="1" cm="1">
        <f t="array" ref="S28">IF(F28="", 0, IF(SUMPRODUCT(--(ISNUMBER(SEARCH(F28, $C$2:$C$33)) + ISNUMBER(SEARCH($C$2:$C$33, F28))))&gt;0, 1, 0))</f>
        <v>1</v>
      </c>
      <c r="T28" s="1" cm="1">
        <f t="array" ref="T28">IF(G28="", 0, IF(SUMPRODUCT(--(ISNUMBER(SEARCH(G28, $C$2:$C$33)) + ISNUMBER(SEARCH($C$2:$C$33, G28))))&gt;0, 1, 0))</f>
        <v>1</v>
      </c>
      <c r="U28" s="1" cm="1">
        <f t="array" ref="U28">IF(H28="", 0, IF(SUMPRODUCT(--(ISNUMBER(SEARCH(H28, $C$2:$C$33)) + ISNUMBER(SEARCH($C$2:$C$33, H28))))&gt;0, 1, 0))</f>
        <v>0</v>
      </c>
      <c r="V28" s="1" cm="1">
        <f t="array" ref="V28">IF(I28="", 0, IF(SUMPRODUCT(--(ISNUMBER(SEARCH(I28, $C$2:$C$33)) + ISNUMBER(SEARCH($C$2:$C$33, I28))))&gt;0, 1, 0))</f>
        <v>1</v>
      </c>
      <c r="W28" s="1" cm="1">
        <f t="array" ref="W28">IF(D28="",0,IF(SUMPRODUCT((ISNUMBER(SEARCH(D28,$C$2:$C$33))+ISNUMBER(SEARCH($C$2:$C$33,D28)))*($B$2:$B$33=$B28))&gt;0,1,0))</f>
        <v>0</v>
      </c>
      <c r="X28" s="1" cm="1">
        <f t="array" ref="X28">IF(E28="",0,IF(SUMPRODUCT((ISNUMBER(SEARCH(E28,$C$2:$C$33))+ISNUMBER(SEARCH($C$2:$C$33,E28)))*($B$2:$B$33=$B28))&gt;0,1,0))</f>
        <v>0</v>
      </c>
      <c r="Y28" s="1" cm="1">
        <f t="array" ref="Y28">IF(F28="",0,IF(SUMPRODUCT((ISNUMBER(SEARCH(F28,$C$2:$C$33))+ISNUMBER(SEARCH($C$2:$C$33,F28)))*($B$2:$B$33=$B28))&gt;0,1,0))</f>
        <v>0</v>
      </c>
      <c r="Z28" s="1" cm="1">
        <f t="array" ref="Z28">IF(G28="",0,IF(SUMPRODUCT((ISNUMBER(SEARCH(G28,$C$2:$C$33))+ISNUMBER(SEARCH($C$2:$C$33,G28)))*($B$2:$B$33=$B28))&gt;0,1,0))</f>
        <v>0</v>
      </c>
      <c r="AA28" s="1" cm="1">
        <f t="array" ref="AA28">IF(H28="",0,IF(SUMPRODUCT((ISNUMBER(SEARCH(H28,$C$2:$C$33))+ISNUMBER(SEARCH($C$2:$C$33,H28)))*($B$2:$B$33=$B28))&gt;0,1,0))</f>
        <v>0</v>
      </c>
      <c r="AB28" s="1" cm="1">
        <f t="array" ref="AB28">IF(I28="",0,IF(SUMPRODUCT((ISNUMBER(SEARCH(I28,$C$2:$C$33))+ISNUMBER(SEARCH($C$2:$C$33,I28)))*($B$2:$B$33=$B28))&gt;0,1,0))</f>
        <v>0</v>
      </c>
      <c r="AC28" s="28" t="s">
        <v>87</v>
      </c>
      <c r="AD28" s="36" t="s">
        <v>82</v>
      </c>
      <c r="AE28" s="36" t="s">
        <v>82</v>
      </c>
      <c r="AF28">
        <f t="shared" si="6"/>
        <v>0</v>
      </c>
      <c r="AG28" cm="1">
        <f t="array" ref="AG28">IF(AC28="",0,IF(SUMPRODUCT((ISNUMBER(SEARCH(AC28,$C$2:$C$33))+ISNUMBER(SEARCH($C$2:$C$33,AC28))))&gt;0,1,0))</f>
        <v>0</v>
      </c>
      <c r="AH28" cm="1">
        <f t="array" ref="AH28">IF(AC28="",0,IF(SUMPRODUCT((ISNUMBER(SEARCH(AC28,$C$2:$C$33))+ISNUMBER(SEARCH($C$2:$C$33,AC28)))*($B$2:$B$33=$B28))&gt;0,1,0))</f>
        <v>0</v>
      </c>
      <c r="AI28">
        <f t="shared" si="7"/>
        <v>0</v>
      </c>
      <c r="AJ28" cm="1">
        <f t="array" ref="AJ28">IF(AD28="",0,IF(SUMPRODUCT((ISNUMBER(SEARCH(AD28,$C$2:$C$33))+ISNUMBER(SEARCH($C$2:$C$33,AD28))))&gt;0,1,0))</f>
        <v>1</v>
      </c>
      <c r="AK28" cm="1">
        <f t="array" ref="AK28">IF(AD28="",0,IF(SUMPRODUCT((ISNUMBER(SEARCH(AD28,$C$2:$C$33))+ISNUMBER(SEARCH($C$2:$C$33,AD28)))*($B$2:$B$33=$B28))&gt;0,1,0))</f>
        <v>0</v>
      </c>
      <c r="AL28">
        <f t="shared" si="8"/>
        <v>0</v>
      </c>
      <c r="AM28" cm="1">
        <f t="array" ref="AM28">IF(AE28="",0,IF(SUMPRODUCT((ISNUMBER(SEARCH(AE28,$C$2:$C$33))+ISNUMBER(SEARCH($C$2:$C$33,AE28))))&gt;0,1,0))</f>
        <v>1</v>
      </c>
      <c r="AN28" cm="1">
        <f t="array" ref="AN28">IF(AE28="",0,IF(SUMPRODUCT((ISNUMBER(SEARCH(AE28,$C$2:$C$33))+ISNUMBER(SEARCH($C$2:$C$33,AE28)))*($B$2:$B$33=$B28))&gt;0,1,0))</f>
        <v>0</v>
      </c>
      <c r="AO28" s="64" t="str" cm="1">
        <f t="array" ref="AO28">_xlfn.LET(_xlpm.raw,'Other analyst '!K28,_xlpm.mockNames,'Colin''s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KC Concepcion</v>
      </c>
      <c r="AP28">
        <f>IF(OR(AO28="",AO28=0),0,IF(OR(ISNUMBER(SEARCH(AO28,$C28)),ISNUMBER(SEARCH($C28,AO28))),1,0))</f>
        <v>0</v>
      </c>
      <c r="AQ28" cm="1">
        <f t="array" ref="AQ28">IF(OR(AO28="",AO28=0),0,IF(SUMPRODUCT(--(ISNUMBER(SEARCH(AO28,$C$2:$C$33))+ISNUMBER(SEARCH($C$2:$C$33,AO28))))&gt;0,1,0))</f>
        <v>1</v>
      </c>
      <c r="AR28" cm="1">
        <f t="array" ref="AR28">IF(OR(AO28="",AO28=0),0,IF(SUMPRODUCT((ISNUMBER(SEARCH(AO28,$C$2:$C$33))+ISNUMBER(SEARCH($C$2:$C$33,AO28)))*($B$2:$B$33=$B28))&gt;0,1,0))</f>
        <v>0</v>
      </c>
      <c r="AS28" s="64" t="str" cm="1">
        <f t="array" ref="AS28">_xlfn.LET(_xlpm.raw,'Other analyst '!L28,_xlpm.mockNames,'Colin''s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Blake Miller</v>
      </c>
      <c r="AT28">
        <f>IF(OR(AS28="",AS28=0),0,IF(OR(ISNUMBER(SEARCH(AS28,$C28)),ISNUMBER(SEARCH($C28,AS28))),1,0))</f>
        <v>0</v>
      </c>
      <c r="AU28" cm="1">
        <f t="array" ref="AU28">IF(OR(AS28="",AS28=0),0,IF(SUMPRODUCT(--(ISNUMBER(SEARCH(AS28,$C$2:$C$33))+ISNUMBER(SEARCH($C$2:$C$33,AS28))))&gt;0,1,0))</f>
        <v>1</v>
      </c>
      <c r="AV28" cm="1">
        <f t="array" ref="AV28">IF(OR(AS28="",AS28=0),0,IF(SUMPRODUCT((ISNUMBER(SEARCH(AS28,$C$2:$C$33))+ISNUMBER(SEARCH($C$2:$C$33,AS28)))*($B$2:$B$33=$B28))&gt;0,1,0))</f>
        <v>0</v>
      </c>
      <c r="AW28" s="64" t="str" cm="1">
        <f t="array" ref="AW28">_xlfn.LET(_xlpm.raw,'Other analyst '!M28,_xlpm.mockNames,'Colin''s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Malachi Lawrence</v>
      </c>
      <c r="AX28">
        <f>IF(OR(AW28="",AW28=0),0,IF(OR(ISNUMBER(SEARCH(AW28,$C28)),ISNUMBER(SEARCH($C28,AW28))),1,0))</f>
        <v>0</v>
      </c>
      <c r="AY28" cm="1">
        <f t="array" ref="AY28">IF(OR(AW28="",AW28=0),0,IF(SUMPRODUCT(--(ISNUMBER(SEARCH(AW28,$C$2:$C$33))+ISNUMBER(SEARCH($C$2:$C$33,AW28))))&gt;0,1,0))</f>
        <v>1</v>
      </c>
      <c r="AZ28" cm="1">
        <f t="array" ref="AZ28">IF(OR(AW28="",AW28=0),0,IF(SUMPRODUCT((ISNUMBER(SEARCH(AW28,$C$2:$C$33))+ISNUMBER(SEARCH($C$2:$C$33,AW28)))*($B$2:$B$33=$B28))&gt;0,1,0))</f>
        <v>0</v>
      </c>
      <c r="BA28" s="64" t="str" cm="1">
        <f t="array" ref="BA28">_xlfn.LET(_xlpm.raw,'Other analyst '!N28,_xlpm.mockNames,'Colin''s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Omar Cooper Jr.</v>
      </c>
      <c r="BB28">
        <f>IF(OR(BA28="",BA28=0),0,IF(OR(ISNUMBER(SEARCH(BA28,$C28)),ISNUMBER(SEARCH($C28,BA28))),1,0))</f>
        <v>0</v>
      </c>
      <c r="BC28" cm="1">
        <f t="array" ref="BC28">IF(OR(BA28="",BA28=0),0,IF(SUMPRODUCT(--(ISNUMBER(SEARCH(BA28,$C$2:$C$33))+ISNUMBER(SEARCH($C$2:$C$33,BA28))))&gt;0,1,0))</f>
        <v>1</v>
      </c>
      <c r="BD28" cm="1">
        <f t="array" ref="BD28">IF(OR(BA28="",BA28=0),0,IF(SUMPRODUCT((ISNUMBER(SEARCH(BA28,$C$2:$C$33))+ISNUMBER(SEARCH($C$2:$C$33,BA28)))*($B$2:$B$33=$B28))&gt;0,1,0))</f>
        <v>0</v>
      </c>
      <c r="BE28" s="65" t="str" cm="1">
        <f t="array" ref="BE28">_xlfn.LET(_xlpm.raw,'Other analyst '!O28,_xlpm.mockNames,'Colin''s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Denzel Boston</v>
      </c>
      <c r="BF28">
        <f>IF(OR(BE28="",BE28=0),0,IF(OR(ISNUMBER(SEARCH(BE28,$C28)),ISNUMBER(SEARCH($C28,BE28))),1,0))</f>
        <v>0</v>
      </c>
      <c r="BG28" cm="1">
        <f t="array" ref="BG28">IF(OR(BE28="",BE28=0),0,IF(SUMPRODUCT(--(ISNUMBER(SEARCH(BE28,$C$2:$C$33))+ISNUMBER(SEARCH($C$2:$C$33,BE28))))&gt;0,1,0))</f>
        <v>0</v>
      </c>
      <c r="BH28" cm="1">
        <f t="array" ref="BH28">IF(OR(BE28="",BE28=0),0,IF(SUMPRODUCT((ISNUMBER(SEARCH(BE28,$C$2:$C$33))+ISNUMBER(SEARCH($C$2:$C$33,BE28)))*($B$2:$B$33=$B28))&gt;0,1,0))</f>
        <v>0</v>
      </c>
      <c r="BI28" s="64" t="str" cm="1">
        <f t="array" ref="BI28">_xlfn.LET(_xlpm.raw,'Other analyst '!P28,_xlpm.mockNames,'Colin''s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Lomu</v>
      </c>
      <c r="BJ28">
        <f>IF(OR(BI28="",BI28=0),0,IF(OR(ISNUMBER(SEARCH(BI28,$C28)),ISNUMBER(SEARCH($C28,BI28))),1,0))</f>
        <v>0</v>
      </c>
      <c r="BK28" cm="1">
        <f t="array" ref="BK28">IF(OR(BI28="",BI28=0),0,IF(SUMPRODUCT(--(ISNUMBER(SEARCH(BI28,$C$2:$C$33))+ISNUMBER(SEARCH($C$2:$C$33,BI28))))&gt;0,1,0))</f>
        <v>1</v>
      </c>
      <c r="BL28" cm="1">
        <f t="array" ref="BL28">IF(OR(BI28="",BI28=0),0,IF(SUMPRODUCT((ISNUMBER(SEARCH(BI28,$C$2:$C$33))+ISNUMBER(SEARCH($C$2:$C$33,BI28)))*($B$2:$B$33=$B28))&gt;0,1,0))</f>
        <v>0</v>
      </c>
      <c r="BM28" s="64" t="str" cm="1">
        <f t="array" ref="BM28">_xlfn.LET(_xlpm.raw,'Other analyst '!Q28,_xlpm.mockNames,'Colin''s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Lomu</v>
      </c>
      <c r="BN28">
        <f>IF(OR(BM28="",BM28=0),0,IF(OR(ISNUMBER(SEARCH(BM28,$C28)),ISNUMBER(SEARCH($C28,BM28))),1,0))</f>
        <v>0</v>
      </c>
      <c r="BO28" cm="1">
        <f t="array" ref="BO28">IF(OR(BM28="",BM28=0),0,IF(SUMPRODUCT(--(ISNUMBER(SEARCH(BM28,$C$2:$C$33))+ISNUMBER(SEARCH($C$2:$C$33,BM28))))&gt;0,1,0))</f>
        <v>1</v>
      </c>
      <c r="BP28" cm="1">
        <f t="array" ref="BP28">IF(OR(BM28="",BM28=0),0,IF(SUMPRODUCT((ISNUMBER(SEARCH(BM28,$C$2:$C$33))+ISNUMBER(SEARCH($C$2:$C$33,BM28)))*($B$2:$B$33=$B28))&gt;0,1,0))</f>
        <v>0</v>
      </c>
      <c r="BQ28" s="64" t="str" cm="1">
        <f t="array" ref="BQ28">_xlfn.LET(_xlpm.raw,'Other analyst '!R28,_xlpm.mockNames,'Colin''s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Lomu</v>
      </c>
      <c r="BR28">
        <f>IF(OR(BQ28="",BQ28=0),0,IF(OR(ISNUMBER(SEARCH(BQ28,$C28)),ISNUMBER(SEARCH($C28,BQ28))),1,0))</f>
        <v>0</v>
      </c>
      <c r="BS28" cm="1">
        <f t="array" ref="BS28">IF(OR(BQ28="",BQ28=0),0,IF(SUMPRODUCT(--(ISNUMBER(SEARCH(BQ28,$C$2:$C$33))+ISNUMBER(SEARCH($C$2:$C$33,BQ28))))&gt;0,1,0))</f>
        <v>1</v>
      </c>
      <c r="BT28" cm="1">
        <f t="array" ref="BT28">IF(OR(BQ28="",BQ28=0),0,IF(SUMPRODUCT((ISNUMBER(SEARCH(BQ28,$C$2:$C$33))+ISNUMBER(SEARCH($C$2:$C$33,BQ28)))*($B$2:$B$33=$B28))&gt;0,1,0))</f>
        <v>0</v>
      </c>
      <c r="BU28" s="76" t="str">
        <f>'Colin Mock wTrade'!D28</f>
        <v>Max Iheanachor</v>
      </c>
      <c r="BV28">
        <f>IF(BU28="",0,IF(OR(ISNUMBER(SEARCH(BU28,C28)),ISNUMBER(SEARCH(C28,BU28))),1,0))</f>
        <v>0</v>
      </c>
      <c r="BW28" cm="1">
        <f t="array" ref="BW28">IF(BU28="",0,IF(SUMPRODUCT(--(ISNUMBER(SEARCH(BU28,$C$2:$C$33))+ISNUMBER(SEARCH($C$2:$C$33,BU28))))&gt;0,1,0))</f>
        <v>1</v>
      </c>
      <c r="BX28" cm="1">
        <f t="array" ref="BX28">IF(BU28="",0,IFERROR(IF(SUMPRODUCT((ISNUMBER(SEARCH(BU28,$C$2:$C$33))+ISNUMBER(SEARCH($C$2:$C$33,BU28)))*($B$2:$B$33=VLOOKUP('Colin Mock wTrade'!C28,$CA$1:$CB$32,2,FALSE)))&gt;0,1,0),0))</f>
        <v>0</v>
      </c>
      <c r="CA28" t="s">
        <v>121</v>
      </c>
      <c r="CB28" t="s">
        <v>701</v>
      </c>
      <c r="CC28" t="str">
        <f>'Other analyst '!S28</f>
        <v>Caleb Lomu</v>
      </c>
      <c r="CD28">
        <f t="shared" si="9"/>
        <v>0</v>
      </c>
      <c r="CE28" cm="1">
        <f t="array" ref="CE28">IF(CC28="",0,IF(SUMPRODUCT(--(ISNUMBER(SEARCH(CC28,$C$2:$C$33))+ISNUMBER(SEARCH($C$2:$C$33,CC28))))&gt;0,1,0))</f>
        <v>1</v>
      </c>
      <c r="CF28" cm="1">
        <f t="array" ref="CF28">IF(CC28="",0,IF(SUMPRODUCT((ISNUMBER(SEARCH(CC28,$C$2:$C$33))+ISNUMBER(SEARCH($C$2:$C$33,CC28)))*($B$2:$B$33=$B28))&gt;0,1,0))</f>
        <v>0</v>
      </c>
      <c r="CG28" t="str">
        <f>'Other analyst '!T28</f>
        <v>Max Iheanachor</v>
      </c>
      <c r="CH28">
        <f t="shared" si="10"/>
        <v>0</v>
      </c>
      <c r="CI28" cm="1">
        <f t="array" ref="CI28">IF(CG28="",0,IF(SUMPRODUCT(--(ISNUMBER(SEARCH(CG28,$C$2:$C$33))+ISNUMBER(SEARCH($C$2:$C$33,CG28))))&gt;0,1,0))</f>
        <v>1</v>
      </c>
      <c r="CJ28" cm="1">
        <f t="array" ref="CJ28">IF(CG28="",0,IF(SUMPRODUCT((ISNUMBER(SEARCH(CG28,$C$2:$C$33))+ISNUMBER(SEARCH($C$2:$C$33,CG28)))*($B$2:$B$33=$B28))&gt;0,1,0))</f>
        <v>0</v>
      </c>
      <c r="CK28" t="str">
        <f>'Other analyst '!U28</f>
        <v>Avieon Terrell</v>
      </c>
      <c r="CL28">
        <f t="shared" si="11"/>
        <v>0</v>
      </c>
      <c r="CM28" cm="1">
        <f t="array" ref="CM28">IF(CK28="",0,IF(SUMPRODUCT(--(ISNUMBER(SEARCH(CK28,$C$2:$C$33))+ISNUMBER(SEARCH($C$2:$C$33,CK28))))&gt;0,1,0))</f>
        <v>0</v>
      </c>
      <c r="CN28" cm="1">
        <f t="array" ref="CN28">IF(CK28="",0,IF(SUMPRODUCT((ISNUMBER(SEARCH(CK28,$C$2:$C$33))+ISNUMBER(SEARCH($C$2:$C$33,CK28)))*($B$2:$B$33=$B28))&gt;0,1,0))</f>
        <v>0</v>
      </c>
      <c r="CO28" t="str">
        <f>'Other analyst '!V28</f>
        <v>Spencer Fano</v>
      </c>
      <c r="CP28">
        <f t="shared" si="12"/>
        <v>0</v>
      </c>
      <c r="CQ28" cm="1">
        <f t="array" ref="CQ28">IF(CO28="",0,IF(SUMPRODUCT(--(ISNUMBER(SEARCH(CO28,$C$2:$C$33))+ISNUMBER(SEARCH($C$2:$C$33,CO28))))&gt;0,1,0))</f>
        <v>1</v>
      </c>
      <c r="CR28" cm="1">
        <f t="array" ref="CR28">IF(CO28="",0,IF(SUMPRODUCT((ISNUMBER(SEARCH(CO28,$C$2:$C$33))+ISNUMBER(SEARCH($C$2:$C$33,CO28)))*($B$2:$B$33=$B28))&gt;0,1,0))</f>
        <v>0</v>
      </c>
      <c r="CS28" s="36" t="str">
        <f>'Other analyst '!W28</f>
        <v>KC Concepcion</v>
      </c>
      <c r="CT28">
        <f t="shared" si="13"/>
        <v>0</v>
      </c>
      <c r="CU28" cm="1">
        <f t="array" ref="CU28">IF(CS28="",0,IF(SUMPRODUCT(--(ISNUMBER(SEARCH(CS28,$C$2:$C$33))+ISNUMBER(SEARCH($C$2:$C$33,CS28))))&gt;0,1,0))</f>
        <v>1</v>
      </c>
      <c r="CV28" cm="1">
        <f t="array" ref="CV28">IF(CS28="",0,IFERROR(IF(SUMPRODUCT((ISNUMBER(SEARCH(CS28,$C$2:$C$33))+ISNUMBER(SEARCH($C$2:$C$33,CS28)))*(ISNUMBER(SEARCH($B$2:$B$33,'Other analyst '!B28))+ISNUMBER(SEARCH('Other analyst '!B28,$B$2:$B$33))))&gt;0,1,0),0))</f>
        <v>0</v>
      </c>
      <c r="CW28" s="28" t="str">
        <f>'Other analyst '!AD28</f>
        <v>T.J. Parker</v>
      </c>
      <c r="CX28">
        <f t="shared" si="14"/>
        <v>0</v>
      </c>
      <c r="CY28" cm="1">
        <f t="array" ref="CY28">IF(CW28="",0,IF(SUMPRODUCT(--(ISNUMBER(SEARCH(CW28,$C$2:$C$33))+ISNUMBER(SEARCH($C$2:$C$33,CW28))))&gt;0,1,0))</f>
        <v>0</v>
      </c>
      <c r="CZ28" cm="1">
        <f t="array" ref="CZ28">IF(CW28="",0,IF(SUMPRODUCT((ISNUMBER(SEARCH(CW28,$C$2:$C$33))+ISNUMBER(SEARCH($C$2:$C$33,CW28)))*($B$2:$B$33=$B28))&gt;0,1,0))</f>
        <v>0</v>
      </c>
      <c r="DA28" s="36" t="str">
        <f>'Other analyst '!AE28</f>
        <v>Blake Miller</v>
      </c>
      <c r="DB28">
        <f t="shared" si="15"/>
        <v>0</v>
      </c>
      <c r="DC28" cm="1">
        <f t="array" ref="DC28">IF(DA28="",0,IF(SUMPRODUCT(--(ISNUMBER(SEARCH(DA28,$C$2:$C$33))+ISNUMBER(SEARCH($C$2:$C$33,DA28))))&gt;0,1,0))</f>
        <v>1</v>
      </c>
      <c r="DD28" cm="1">
        <f t="array" ref="DD28">IF(DA28="",0,IF(SUMPRODUCT((ISNUMBER(SEARCH(DA28,$C$2:$C$33))+ISNUMBER(SEARCH($C$2:$C$33,DA28)))*($B$2:$B$33=$B28))&gt;0,1,0))</f>
        <v>0</v>
      </c>
      <c r="DE28" s="36" t="str">
        <f>'Other analyst '!AF28</f>
        <v>Omar Cooper Jr.</v>
      </c>
      <c r="DF28">
        <f t="shared" si="16"/>
        <v>0</v>
      </c>
      <c r="DG28" cm="1">
        <f t="array" ref="DG28">IF(DE28="",0,IF(SUMPRODUCT(--(ISNUMBER(SEARCH(DE28,$C$2:$C$33))+ISNUMBER(SEARCH($C$2:$C$33,DE28))))&gt;0,1,0))</f>
        <v>1</v>
      </c>
      <c r="DH28" cm="1">
        <f t="array" ref="DH28">IF(DE28="",0,IF(SUMPRODUCT((ISNUMBER(SEARCH(DE28,$C$2:$C$33))+ISNUMBER(SEARCH($C$2:$C$33,DE28)))*($B$2:$B$33=$B28))&gt;0,1,0))</f>
        <v>0</v>
      </c>
      <c r="DI28" s="36" t="str">
        <f>'Other analyst '!AG28</f>
        <v>Caleb Lomu</v>
      </c>
      <c r="DJ28">
        <f t="shared" si="17"/>
        <v>0</v>
      </c>
      <c r="DK28" cm="1">
        <f t="array" ref="DK28">IF(DI28="",0,IF(SUMPRODUCT(--(ISNUMBER(SEARCH(DI28,$C$2:$C$33))+ISNUMBER(SEARCH($C$2:$C$33,DI28))))&gt;0,1,0))</f>
        <v>1</v>
      </c>
      <c r="DL28" cm="1">
        <f t="array" ref="DL28">IF(DI28="",0,IF(SUMPRODUCT((ISNUMBER(SEARCH(DI28,$C$2:$C$33))+ISNUMBER(SEARCH($C$2:$C$33,DI28)))*($B$2:$B$33=$B28))&gt;0,1,0))</f>
        <v>0</v>
      </c>
      <c r="DM28" s="36" t="str">
        <f>'Other analyst '!AB28</f>
        <v>KC Concepcion</v>
      </c>
      <c r="DN28">
        <f t="shared" si="18"/>
        <v>0</v>
      </c>
      <c r="DO28" cm="1">
        <f t="array" ref="DO28">IF(DM28="",0,IF(SUMPRODUCT(--(ISNUMBER(SEARCH(DM28,$C$2:$C$33))+ISNUMBER(SEARCH($C$2:$C$33,DM28))))&gt;0,1,0))</f>
        <v>1</v>
      </c>
      <c r="DP28" cm="1">
        <f t="array" ref="DP28">IF(DM28="",0,IFERROR(IF(SUMPRODUCT((ISNUMBER(SEARCH(DM28,$C$2:$C$33))+ISNUMBER(SEARCH($C$2:$C$33,DM28)))*(ISNUMBER(SEARCH($B$2:$B$33,'Other analyst '!B28))+ISNUMBER(SEARCH('Other analyst '!B28,$B$2:$B$33))))&gt;0,1,0),0))</f>
        <v>0</v>
      </c>
      <c r="DQ28" s="36" t="str">
        <f>'Other analyst '!AC28</f>
        <v>Max Iheanachor</v>
      </c>
      <c r="DR28">
        <f t="shared" si="19"/>
        <v>0</v>
      </c>
      <c r="DS28" cm="1">
        <f t="array" ref="DS28">IF(DQ28="",0,IF(SUMPRODUCT(--(ISNUMBER(SEARCH(DQ28,$C$2:$C$33))+ISNUMBER(SEARCH($C$2:$C$33,DQ28))))&gt;0,1,0))</f>
        <v>1</v>
      </c>
      <c r="DT28" cm="1">
        <f t="array" ref="DT28">IF(DQ28="",0,IFERROR(IF(SUMPRODUCT((ISNUMBER(SEARCH(DQ28,$C$2:$C$33))+ISNUMBER(SEARCH($C$2:$C$33,DQ28)))*(ISNUMBER(SEARCH($B$2:$B$33,'Other analyst '!B28))+ISNUMBER(SEARCH('Other analyst '!B28,$B$2:$B$33))))&gt;0,1,0),0))</f>
        <v>0</v>
      </c>
      <c r="DU28" t="str">
        <f>IFERROR(TRIM(LEFT(IF(ISNUMBER(SEARCH("]",'Other analyst '!X28)),MID('Other analyst '!X28,SEARCH("]",'Other analyst '!X28)+1,200),'Other analyst '!X28),IFERROR(SEARCH(" (",IF(ISNUMBER(SEARCH("]",'Other analyst '!X28)),MID('Other analyst '!X28,SEARCH("]",'Other analyst '!X28)+1,200),'Other analyst '!X28))-1,LEN('Other analyst '!X28)))),"")</f>
        <v>Emmanuel McNeil-Warren</v>
      </c>
      <c r="DV28">
        <f>IF(DU28="",0,IF(OR(ISNUMBER(SEARCH(DU28,C28)),ISNUMBER(SEARCH(C28,DU28))),1,0))</f>
        <v>0</v>
      </c>
      <c r="DW28" cm="1">
        <f t="array" ref="DW28">IF(DU28="",0,IF(SUMPRODUCT((ISNUMBER(SEARCH(DU28,$C$2:$C$33))+ISNUMBER(SEARCH($C$2:$C$33,DU28))))&gt;0,1,0))</f>
        <v>0</v>
      </c>
      <c r="DX28">
        <v>0</v>
      </c>
      <c r="DY28" t="str">
        <f>IFERROR(TRIM(LEFT(IF(ISNUMBER(SEARCH("]",'Other analyst '!Y28)),MID('Other analyst '!Y28,SEARCH("]",'Other analyst '!Y28)+1,200),'Other analyst '!Y28),IFERROR(SEARCH(" (",IF(ISNUMBER(SEARCH("]",'Other analyst '!Y28)),MID('Other analyst '!Y28,SEARCH("]",'Other analyst '!Y28)+1,200),'Other analyst '!Y28))-1,LEN('Other analyst '!Y28)))),"")</f>
        <v>Caleb Lomu</v>
      </c>
      <c r="DZ28">
        <f>IF(DY28="",0,IF(OR(ISNUMBER(SEARCH(DY28,C28)),ISNUMBER(SEARCH(C28,DY28))),1,0))</f>
        <v>0</v>
      </c>
      <c r="EA28" cm="1">
        <f t="array" ref="EA28">IF(DY28="",0,IF(SUMPRODUCT((ISNUMBER(SEARCH(DY28,$C$2:$C$33))+ISNUMBER(SEARCH($C$2:$C$33,DY28))))&gt;0,1,0))</f>
        <v>1</v>
      </c>
      <c r="EB28">
        <v>0</v>
      </c>
      <c r="EC28" t="str">
        <f>IFERROR(TRIM(LEFT(IF(ISNUMBER(SEARCH("]",'Other analyst '!Z28)),MID('Other analyst '!Z28,SEARCH("]",'Other analyst '!Z28)+1,200),'Other analyst '!Z28),IFERROR(SEARCH(" (",IF(ISNUMBER(SEARCH("]",'Other analyst '!Z28)),MID('Other analyst '!Z28,SEARCH("]",'Other analyst '!Z28)+1,200),'Other analyst '!Z28))-1,LEN('Other analyst '!Z28)))),"")</f>
        <v>Caleb Lomu</v>
      </c>
      <c r="ED28">
        <f>IF(EC28="",0,IF(OR(ISNUMBER(SEARCH(EC28,C28)),ISNUMBER(SEARCH(C28,EC28))),1,0))</f>
        <v>0</v>
      </c>
      <c r="EE28" cm="1">
        <f t="array" ref="EE28">IF(EC28="",0,IF(SUMPRODUCT((ISNUMBER(SEARCH(EC28,$C$2:$C$33))+ISNUMBER(SEARCH($C$2:$C$33,EC28))))&gt;0,1,0))</f>
        <v>1</v>
      </c>
      <c r="EF28">
        <v>0</v>
      </c>
      <c r="EG28" t="str">
        <f>IFERROR(TRIM(LEFT(IF(ISNUMBER(SEARCH("]",'Other analyst '!AA28)),MID('Other analyst '!AA28,SEARCH("]",'Other analyst '!AA28)+1,200),'Other analyst '!AA28),IFERROR(SEARCH(" (",IF(ISNUMBER(SEARCH("]",'Other analyst '!AA28)),MID('Other analyst '!AA28,SEARCH("]",'Other analyst '!AA28)+1,200),'Other analyst '!AA28))-1,LEN('Other analyst '!AA28)))),"")</f>
        <v>Caleb Lomu</v>
      </c>
      <c r="EH28">
        <f>IF(EG28="",0,IF(OR(ISNUMBER(SEARCH(EG28,C28)),ISNUMBER(SEARCH(C28,EG28))),1,0))</f>
        <v>0</v>
      </c>
      <c r="EI28" cm="1">
        <f t="array" ref="EI28">IF(EG28="",0,IF(SUMPRODUCT((ISNUMBER(SEARCH(EG28,$C$2:$C$33))+ISNUMBER(SEARCH($C$2:$C$33,EG28))))&gt;0,1,0))</f>
        <v>1</v>
      </c>
      <c r="EJ28">
        <v>0</v>
      </c>
      <c r="EK28">
        <f>K28+L28+M28+N28+O28+P28+AF28+AI28+AL28+AP28+AT28+AX28+BB28+BF28+BJ28+BN28+BR28+BV28+CD28+CH28+CL28+CP28+CT28+DV28+DZ28+ED28+EH28+DN28+DR28+CX28+DB28+DF28+DJ28</f>
        <v>0</v>
      </c>
    </row>
    <row r="29" spans="1:141">
      <c r="A29" s="30">
        <v>28</v>
      </c>
      <c r="B29" s="30" t="str">
        <f>'Actual nfl first round'!C29</f>
        <v>Patriots</v>
      </c>
      <c r="C29" s="31" t="str" cm="1">
        <f t="array" ref="C29">_xlfn.LET(_xlpm.actual, 'Actual nfl first round'!D29,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Caleb Lomu</v>
      </c>
      <c r="D29" s="32" t="str">
        <f>'Colin''s Mock'!D29</f>
        <v>Colton Hood</v>
      </c>
      <c r="E29" s="32" t="str">
        <f>_xlfn.LET(_xlpm.raw, 'Other analyst '!C29, _xlpm.s, IF(LEFT(_xlpm.raw,1)="[", MID(_xlpm.raw, FIND("] ",_xlpm.raw)+2, 999), _xlpm.raw), IFERROR(TRIM(LEFT(_xlpm.s, FIND(" (",_xlpm.s)-1)), _xlpm.raw))</f>
        <v>Peter Woods</v>
      </c>
      <c r="F29" s="32" t="str">
        <f>_xlfn.LET(_xlpm.raw, 'Other analyst '!D29, _xlpm.s, IF(LEFT(_xlpm.raw,1)="[", MID(_xlpm.raw, FIND("] ",_xlpm.raw)+2, 999), _xlpm.raw), IFERROR(TRIM(LEFT(_xlpm.s, FIND(" (",_xlpm.s)-1)), _xlpm.raw))</f>
        <v>Christen Miller</v>
      </c>
      <c r="G29" s="32" t="str">
        <f>_xlfn.LET(_xlpm.raw, 'Other analyst '!E29, _xlpm.s, IF(LEFT(_xlpm.raw,1)="[", MID(_xlpm.raw, FIND("] ",_xlpm.raw)+2, 999), _xlpm.raw), IFERROR(TRIM(LEFT(_xlpm.s, FIND(" (",_xlpm.s)-1)), _xlpm.raw))</f>
        <v>KC Concepcion</v>
      </c>
      <c r="H29" s="32" t="str">
        <f>_xlfn.LET(_xlpm.raw, 'Other analyst '!F29, _xlpm.s, IF(LEFT(_xlpm.raw,1)="[", MID(_xlpm.raw, FIND("] ",_xlpm.raw)+2, 999), _xlpm.raw), IFERROR(TRIM(LEFT(_xlpm.s, FIND(" (",_xlpm.s)-1)), _xlpm.raw))</f>
        <v>Ty Simpson</v>
      </c>
      <c r="I29" s="32" t="str">
        <f>_xlfn.LET(_xlpm.raw, 'Other analyst '!G29, _xlpm.s, IF(LEFT(_xlpm.raw,1)="[", MID(_xlpm.raw, FIND("] ",_xlpm.raw)+2, 999), _xlpm.raw), IFERROR(TRIM(LEFT(_xlpm.s, FIND(" (",_xlpm.s)-1)), _xlpm.raw))</f>
        <v>Kadyn Proctor</v>
      </c>
      <c r="K29" s="1">
        <f t="shared" si="0"/>
        <v>0</v>
      </c>
      <c r="L29" s="1">
        <f t="shared" si="1"/>
        <v>0</v>
      </c>
      <c r="M29" s="1">
        <f t="shared" si="2"/>
        <v>0</v>
      </c>
      <c r="N29" s="1">
        <f t="shared" si="3"/>
        <v>0</v>
      </c>
      <c r="O29" s="1">
        <f t="shared" si="4"/>
        <v>0</v>
      </c>
      <c r="P29" s="1">
        <f t="shared" si="5"/>
        <v>0</v>
      </c>
      <c r="Q29" s="1" cm="1">
        <f t="array" ref="Q29">IF(D29="", 0, IF(SUMPRODUCT(--(ISNUMBER(SEARCH(D29, $C$2:$C$33)) + ISNUMBER(SEARCH($C$2:$C$33, D29))))&gt;0, 1, 0))</f>
        <v>0</v>
      </c>
      <c r="R29" s="1" cm="1">
        <f t="array" ref="R29">IF(E29="", 0, IF(SUMPRODUCT(--(ISNUMBER(SEARCH(E29, $C$2:$C$33)) + ISNUMBER(SEARCH($C$2:$C$33, E29))))&gt;0, 1, 0))</f>
        <v>1</v>
      </c>
      <c r="S29" s="1" cm="1">
        <f t="array" ref="S29">IF(F29="", 0, IF(SUMPRODUCT(--(ISNUMBER(SEARCH(F29, $C$2:$C$33)) + ISNUMBER(SEARCH($C$2:$C$33, F29))))&gt;0, 1, 0))</f>
        <v>0</v>
      </c>
      <c r="T29" s="1" cm="1">
        <f t="array" ref="T29">IF(G29="", 0, IF(SUMPRODUCT(--(ISNUMBER(SEARCH(G29, $C$2:$C$33)) + ISNUMBER(SEARCH($C$2:$C$33, G29))))&gt;0, 1, 0))</f>
        <v>1</v>
      </c>
      <c r="U29" s="1" cm="1">
        <f t="array" ref="U29">IF(H29="", 0, IF(SUMPRODUCT(--(ISNUMBER(SEARCH(H29, $C$2:$C$33)) + ISNUMBER(SEARCH($C$2:$C$33, H29))))&gt;0, 1, 0))</f>
        <v>1</v>
      </c>
      <c r="V29" s="1" cm="1">
        <f t="array" ref="V29">IF(I29="", 0, IF(SUMPRODUCT(--(ISNUMBER(SEARCH(I29, $C$2:$C$33)) + ISNUMBER(SEARCH($C$2:$C$33, I29))))&gt;0, 1, 0))</f>
        <v>1</v>
      </c>
      <c r="W29" s="1" cm="1">
        <f t="array" ref="W29">IF(D29="",0,IF(SUMPRODUCT((ISNUMBER(SEARCH(D29,$C$2:$C$33))+ISNUMBER(SEARCH($C$2:$C$33,D29)))*($B$2:$B$33=$B29))&gt;0,1,0))</f>
        <v>0</v>
      </c>
      <c r="X29" s="1" cm="1">
        <f t="array" ref="X29">IF(E29="",0,IF(SUMPRODUCT((ISNUMBER(SEARCH(E29,$C$2:$C$33))+ISNUMBER(SEARCH($C$2:$C$33,E29)))*($B$2:$B$33=$B29))&gt;0,1,0))</f>
        <v>0</v>
      </c>
      <c r="Y29" s="1" cm="1">
        <f t="array" ref="Y29">IF(F29="",0,IF(SUMPRODUCT((ISNUMBER(SEARCH(F29,$C$2:$C$33))+ISNUMBER(SEARCH($C$2:$C$33,F29)))*($B$2:$B$33=$B29))&gt;0,1,0))</f>
        <v>0</v>
      </c>
      <c r="Z29" s="1" cm="1">
        <f t="array" ref="Z29">IF(G29="",0,IF(SUMPRODUCT((ISNUMBER(SEARCH(G29,$C$2:$C$33))+ISNUMBER(SEARCH($C$2:$C$33,G29)))*($B$2:$B$33=$B29))&gt;0,1,0))</f>
        <v>0</v>
      </c>
      <c r="AA29" s="1" cm="1">
        <f t="array" ref="AA29">IF(H29="",0,IF(SUMPRODUCT((ISNUMBER(SEARCH(H29,$C$2:$C$33))+ISNUMBER(SEARCH($C$2:$C$33,H29)))*($B$2:$B$33=$B29))&gt;0,1,0))</f>
        <v>0</v>
      </c>
      <c r="AB29" s="1" cm="1">
        <f t="array" ref="AB29">IF(I29="",0,IF(SUMPRODUCT((ISNUMBER(SEARCH(I29,$C$2:$C$33))+ISNUMBER(SEARCH($C$2:$C$33,I29)))*($B$2:$B$33=$B29))&gt;0,1,0))</f>
        <v>0</v>
      </c>
      <c r="AC29" s="36" t="s">
        <v>84</v>
      </c>
      <c r="AD29" s="28" t="s">
        <v>99</v>
      </c>
      <c r="AE29" s="36" t="s">
        <v>65</v>
      </c>
      <c r="AF29">
        <f t="shared" si="6"/>
        <v>0</v>
      </c>
      <c r="AG29" cm="1">
        <f t="array" ref="AG29">IF(AC29="",0,IF(SUMPRODUCT((ISNUMBER(SEARCH(AC29,$C$2:$C$33))+ISNUMBER(SEARCH($C$2:$C$33,AC29))))&gt;0,1,0))</f>
        <v>1</v>
      </c>
      <c r="AH29" cm="1">
        <f t="array" ref="AH29">IF(AC29="",0,IF(SUMPRODUCT((ISNUMBER(SEARCH(AC29,$C$2:$C$33))+ISNUMBER(SEARCH($C$2:$C$33,AC29)))*($B$2:$B$33=$B29))&gt;0,1,0))</f>
        <v>0</v>
      </c>
      <c r="AI29">
        <f t="shared" si="7"/>
        <v>0</v>
      </c>
      <c r="AJ29" cm="1">
        <f t="array" ref="AJ29">IF(AD29="",0,IF(SUMPRODUCT((ISNUMBER(SEARCH(AD29,$C$2:$C$33))+ISNUMBER(SEARCH($C$2:$C$33,AD29))))&gt;0,1,0))</f>
        <v>0</v>
      </c>
      <c r="AK29" cm="1">
        <f t="array" ref="AK29">IF(AD29="",0,IF(SUMPRODUCT((ISNUMBER(SEARCH(AD29,$C$2:$C$33))+ISNUMBER(SEARCH($C$2:$C$33,AD29)))*($B$2:$B$33=$B29))&gt;0,1,0))</f>
        <v>0</v>
      </c>
      <c r="AL29">
        <f t="shared" si="8"/>
        <v>0</v>
      </c>
      <c r="AM29" cm="1">
        <f t="array" ref="AM29">IF(AE29="",0,IF(SUMPRODUCT((ISNUMBER(SEARCH(AE29,$C$2:$C$33))+ISNUMBER(SEARCH($C$2:$C$33,AE29))))&gt;0,1,0))</f>
        <v>1</v>
      </c>
      <c r="AN29" cm="1">
        <f t="array" ref="AN29">IF(AE29="",0,IF(SUMPRODUCT((ISNUMBER(SEARCH(AE29,$C$2:$C$33))+ISNUMBER(SEARCH($C$2:$C$33,AE29)))*($B$2:$B$33=$B29))&gt;0,1,0))</f>
        <v>0</v>
      </c>
      <c r="AO29" s="17" t="str" cm="1">
        <f t="array" ref="AO29">_xlfn.LET(_xlpm.raw,'Other analyst '!K29,_xlpm.mockNames,'Colin''s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Caleb Lomu</v>
      </c>
      <c r="AP29">
        <f>IF(OR(AO29="",AO29=0),0,IF(OR(ISNUMBER(SEARCH(AO29,$C29)),ISNUMBER(SEARCH($C29,AO29))),1,0))</f>
        <v>1</v>
      </c>
      <c r="AQ29" cm="1">
        <f t="array" ref="AQ29">IF(OR(AO29="",AO29=0),0,IF(SUMPRODUCT(--(ISNUMBER(SEARCH(AO29,$C$2:$C$33))+ISNUMBER(SEARCH($C$2:$C$33,AO29))))&gt;0,1,0))</f>
        <v>1</v>
      </c>
      <c r="AR29" cm="1">
        <f t="array" ref="AR29">IF(OR(AO29="",AO29=0),0,IF(SUMPRODUCT((ISNUMBER(SEARCH(AO29,$C$2:$C$33))+ISNUMBER(SEARCH($C$2:$C$33,AO29)))*($B$2:$B$33=$B29))&gt;0,1,0))</f>
        <v>1</v>
      </c>
      <c r="AS29" s="65" t="str" cm="1">
        <f t="array" ref="AS29">_xlfn.LET(_xlpm.raw,'Other analyst '!L29,_xlpm.mockNames,'Colin''s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Chase Bisontis</v>
      </c>
      <c r="AT29">
        <f>IF(OR(AS29="",AS29=0),0,IF(OR(ISNUMBER(SEARCH(AS29,$C29)),ISNUMBER(SEARCH($C29,AS29))),1,0))</f>
        <v>0</v>
      </c>
      <c r="AU29" cm="1">
        <f t="array" ref="AU29">IF(OR(AS29="",AS29=0),0,IF(SUMPRODUCT(--(ISNUMBER(SEARCH(AS29,$C$2:$C$33))+ISNUMBER(SEARCH($C$2:$C$33,AS29))))&gt;0,1,0))</f>
        <v>0</v>
      </c>
      <c r="AV29" cm="1">
        <f t="array" ref="AV29">IF(OR(AS29="",AS29=0),0,IF(SUMPRODUCT((ISNUMBER(SEARCH(AS29,$C$2:$C$33))+ISNUMBER(SEARCH($C$2:$C$33,AS29)))*($B$2:$B$33=$B29))&gt;0,1,0))</f>
        <v>0</v>
      </c>
      <c r="AW29" s="64" t="str" cm="1">
        <f t="array" ref="AW29">_xlfn.LET(_xlpm.raw,'Other analyst '!M29,_xlpm.mockNames,'Colin''s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Keylan Rutledge</v>
      </c>
      <c r="AX29">
        <f>IF(OR(AW29="",AW29=0),0,IF(OR(ISNUMBER(SEARCH(AW29,$C29)),ISNUMBER(SEARCH($C29,AW29))),1,0))</f>
        <v>0</v>
      </c>
      <c r="AY29" cm="1">
        <f t="array" ref="AY29">IF(OR(AW29="",AW29=0),0,IF(SUMPRODUCT(--(ISNUMBER(SEARCH(AW29,$C$2:$C$33))+ISNUMBER(SEARCH($C$2:$C$33,AW29))))&gt;0,1,0))</f>
        <v>1</v>
      </c>
      <c r="AZ29" cm="1">
        <f t="array" ref="AZ29">IF(OR(AW29="",AW29=0),0,IF(SUMPRODUCT((ISNUMBER(SEARCH(AW29,$C$2:$C$33))+ISNUMBER(SEARCH($C$2:$C$33,AW29)))*($B$2:$B$33=$B29))&gt;0,1,0))</f>
        <v>0</v>
      </c>
      <c r="BA29" s="65" t="str" cm="1">
        <f t="array" ref="BA29">_xlfn.LET(_xlpm.raw,'Other analyst '!N29,_xlpm.mockNames,'Colin''s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Colton Hood</v>
      </c>
      <c r="BB29">
        <f>IF(OR(BA29="",BA29=0),0,IF(OR(ISNUMBER(SEARCH(BA29,$C29)),ISNUMBER(SEARCH($C29,BA29))),1,0))</f>
        <v>0</v>
      </c>
      <c r="BC29" cm="1">
        <f t="array" ref="BC29">IF(OR(BA29="",BA29=0),0,IF(SUMPRODUCT(--(ISNUMBER(SEARCH(BA29,$C$2:$C$33))+ISNUMBER(SEARCH($C$2:$C$33,BA29))))&gt;0,1,0))</f>
        <v>0</v>
      </c>
      <c r="BD29" cm="1">
        <f t="array" ref="BD29">IF(OR(BA29="",BA29=0),0,IF(SUMPRODUCT((ISNUMBER(SEARCH(BA29,$C$2:$C$33))+ISNUMBER(SEARCH($C$2:$C$33,BA29)))*($B$2:$B$33=$B29))&gt;0,1,0))</f>
        <v>0</v>
      </c>
      <c r="BE29" s="65" t="str" cm="1">
        <f t="array" ref="BE29">_xlfn.LET(_xlpm.raw,'Other analyst '!O29,_xlpm.mockNames,'Colin''s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Kayden McDonald</v>
      </c>
      <c r="BF29">
        <f>IF(OR(BE29="",BE29=0),0,IF(OR(ISNUMBER(SEARCH(BE29,$C29)),ISNUMBER(SEARCH($C29,BE29))),1,0))</f>
        <v>0</v>
      </c>
      <c r="BG29" cm="1">
        <f t="array" ref="BG29">IF(OR(BE29="",BE29=0),0,IF(SUMPRODUCT(--(ISNUMBER(SEARCH(BE29,$C$2:$C$33))+ISNUMBER(SEARCH($C$2:$C$33,BE29))))&gt;0,1,0))</f>
        <v>0</v>
      </c>
      <c r="BH29" cm="1">
        <f t="array" ref="BH29">IF(OR(BE29="",BE29=0),0,IF(SUMPRODUCT((ISNUMBER(SEARCH(BE29,$C$2:$C$33))+ISNUMBER(SEARCH($C$2:$C$33,BE29)))*($B$2:$B$33=$B29))&gt;0,1,0))</f>
        <v>0</v>
      </c>
      <c r="BI29" s="65" t="str" cm="1">
        <f t="array" ref="BI29">_xlfn.LET(_xlpm.raw,'Other analyst '!P29,_xlpm.mockNames,'Colin''s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Chase Bisontis</v>
      </c>
      <c r="BJ29">
        <f>IF(OR(BI29="",BI29=0),0,IF(OR(ISNUMBER(SEARCH(BI29,$C29)),ISNUMBER(SEARCH($C29,BI29))),1,0))</f>
        <v>0</v>
      </c>
      <c r="BK29" cm="1">
        <f t="array" ref="BK29">IF(OR(BI29="",BI29=0),0,IF(SUMPRODUCT(--(ISNUMBER(SEARCH(BI29,$C$2:$C$33))+ISNUMBER(SEARCH($C$2:$C$33,BI29))))&gt;0,1,0))</f>
        <v>0</v>
      </c>
      <c r="BL29" cm="1">
        <f t="array" ref="BL29">IF(OR(BI29="",BI29=0),0,IF(SUMPRODUCT((ISNUMBER(SEARCH(BI29,$C$2:$C$33))+ISNUMBER(SEARCH($C$2:$C$33,BI29)))*($B$2:$B$33=$B29))&gt;0,1,0))</f>
        <v>0</v>
      </c>
      <c r="BM29" s="64" t="str" cm="1">
        <f t="array" ref="BM29">_xlfn.LET(_xlpm.raw,'Other analyst '!Q29,_xlpm.mockNames,'Colin''s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Keylan Rutledge</v>
      </c>
      <c r="BN29">
        <f>IF(OR(BM29="",BM29=0),0,IF(OR(ISNUMBER(SEARCH(BM29,$C29)),ISNUMBER(SEARCH($C29,BM29))),1,0))</f>
        <v>0</v>
      </c>
      <c r="BO29" cm="1">
        <f t="array" ref="BO29">IF(OR(BM29="",BM29=0),0,IF(SUMPRODUCT(--(ISNUMBER(SEARCH(BM29,$C$2:$C$33))+ISNUMBER(SEARCH($C$2:$C$33,BM29))))&gt;0,1,0))</f>
        <v>1</v>
      </c>
      <c r="BP29" cm="1">
        <f t="array" ref="BP29">IF(OR(BM29="",BM29=0),0,IF(SUMPRODUCT((ISNUMBER(SEARCH(BM29,$C$2:$C$33))+ISNUMBER(SEARCH($C$2:$C$33,BM29)))*($B$2:$B$33=$B29))&gt;0,1,0))</f>
        <v>0</v>
      </c>
      <c r="BQ29" s="65" t="str" cm="1">
        <f t="array" ref="BQ29">_xlfn.LET(_xlpm.raw,'Other analyst '!R29,_xlpm.mockNames,'Colin''s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T.J. Parker</v>
      </c>
      <c r="BR29">
        <f>IF(OR(BQ29="",BQ29=0),0,IF(OR(ISNUMBER(SEARCH(BQ29,$C29)),ISNUMBER(SEARCH($C29,BQ29))),1,0))</f>
        <v>0</v>
      </c>
      <c r="BS29" cm="1">
        <f t="array" ref="BS29">IF(OR(BQ29="",BQ29=0),0,IF(SUMPRODUCT(--(ISNUMBER(SEARCH(BQ29,$C$2:$C$33))+ISNUMBER(SEARCH($C$2:$C$33,BQ29))))&gt;0,1,0))</f>
        <v>0</v>
      </c>
      <c r="BT29" cm="1">
        <f t="array" ref="BT29">IF(OR(BQ29="",BQ29=0),0,IF(SUMPRODUCT((ISNUMBER(SEARCH(BQ29,$C$2:$C$33))+ISNUMBER(SEARCH($C$2:$C$33,BQ29)))*($B$2:$B$33=$B29))&gt;0,1,0))</f>
        <v>0</v>
      </c>
      <c r="BU29" t="str">
        <f>'Colin Mock wTrade'!D29</f>
        <v>Colton Hood</v>
      </c>
      <c r="BV29">
        <f>IF(BU29="",0,IF(OR(ISNUMBER(SEARCH(BU29,C29)),ISNUMBER(SEARCH(C29,BU29))),1,0))</f>
        <v>0</v>
      </c>
      <c r="BW29" cm="1">
        <f t="array" ref="BW29">IF(BU29="",0,IF(SUMPRODUCT(--(ISNUMBER(SEARCH(BU29,$C$2:$C$33))+ISNUMBER(SEARCH($C$2:$C$33,BU29))))&gt;0,1,0))</f>
        <v>0</v>
      </c>
      <c r="BX29" cm="1">
        <f t="array" ref="BX29">IF(BU29="",0,IFERROR(IF(SUMPRODUCT((ISNUMBER(SEARCH(BU29,$C$2:$C$33))+ISNUMBER(SEARCH($C$2:$C$33,BU29)))*($B$2:$B$33=VLOOKUP('Colin Mock wTrade'!C29,$CA$1:$CB$32,2,FALSE)))&gt;0,1,0),0))</f>
        <v>0</v>
      </c>
      <c r="CA29" t="s">
        <v>128</v>
      </c>
      <c r="CB29" t="s">
        <v>702</v>
      </c>
      <c r="CC29" t="str">
        <f>'Other analyst '!S29</f>
        <v>Kayden McDonald</v>
      </c>
      <c r="CD29">
        <f t="shared" si="9"/>
        <v>0</v>
      </c>
      <c r="CE29" cm="1">
        <f t="array" ref="CE29">IF(CC29="",0,IF(SUMPRODUCT(--(ISNUMBER(SEARCH(CC29,$C$2:$C$33))+ISNUMBER(SEARCH($C$2:$C$33,CC29))))&gt;0,1,0))</f>
        <v>0</v>
      </c>
      <c r="CF29" cm="1">
        <f t="array" ref="CF29">IF(CC29="",0,IF(SUMPRODUCT((ISNUMBER(SEARCH(CC29,$C$2:$C$33))+ISNUMBER(SEARCH($C$2:$C$33,CC29)))*($B$2:$B$33=$B29))&gt;0,1,0))</f>
        <v>0</v>
      </c>
      <c r="CG29" t="str">
        <f>'Other analyst '!T29</f>
        <v>Kayden McDonald</v>
      </c>
      <c r="CH29">
        <f t="shared" si="10"/>
        <v>0</v>
      </c>
      <c r="CI29" cm="1">
        <f t="array" ref="CI29">IF(CG29="",0,IF(SUMPRODUCT(--(ISNUMBER(SEARCH(CG29,$C$2:$C$33))+ISNUMBER(SEARCH($C$2:$C$33,CG29))))&gt;0,1,0))</f>
        <v>0</v>
      </c>
      <c r="CJ29" cm="1">
        <f t="array" ref="CJ29">IF(CG29="",0,IF(SUMPRODUCT((ISNUMBER(SEARCH(CG29,$C$2:$C$33))+ISNUMBER(SEARCH($C$2:$C$33,CG29)))*($B$2:$B$33=$B29))&gt;0,1,0))</f>
        <v>0</v>
      </c>
      <c r="CK29" t="str">
        <f>'Other analyst '!U29</f>
        <v>Denzel Boston</v>
      </c>
      <c r="CL29">
        <f t="shared" si="11"/>
        <v>0</v>
      </c>
      <c r="CM29" cm="1">
        <f t="array" ref="CM29">IF(CK29="",0,IF(SUMPRODUCT(--(ISNUMBER(SEARCH(CK29,$C$2:$C$33))+ISNUMBER(SEARCH($C$2:$C$33,CK29))))&gt;0,1,0))</f>
        <v>0</v>
      </c>
      <c r="CN29" cm="1">
        <f t="array" ref="CN29">IF(CK29="",0,IF(SUMPRODUCT((ISNUMBER(SEARCH(CK29,$C$2:$C$33))+ISNUMBER(SEARCH($C$2:$C$33,CK29)))*($B$2:$B$33=$B29))&gt;0,1,0))</f>
        <v>0</v>
      </c>
      <c r="CO29" t="str">
        <f>'Other analyst '!V29</f>
        <v>Blake Miller</v>
      </c>
      <c r="CP29">
        <f t="shared" si="12"/>
        <v>0</v>
      </c>
      <c r="CQ29" cm="1">
        <f t="array" ref="CQ29">IF(CO29="",0,IF(SUMPRODUCT(--(ISNUMBER(SEARCH(CO29,$C$2:$C$33))+ISNUMBER(SEARCH($C$2:$C$33,CO29))))&gt;0,1,0))</f>
        <v>1</v>
      </c>
      <c r="CR29" cm="1">
        <f t="array" ref="CR29">IF(CO29="",0,IF(SUMPRODUCT((ISNUMBER(SEARCH(CO29,$C$2:$C$33))+ISNUMBER(SEARCH($C$2:$C$33,CO29)))*($B$2:$B$33=$B29))&gt;0,1,0))</f>
        <v>0</v>
      </c>
      <c r="CS29" s="35" t="str">
        <f>'Other analyst '!W29</f>
        <v>Caleb Lomu</v>
      </c>
      <c r="CT29">
        <f t="shared" si="13"/>
        <v>1</v>
      </c>
      <c r="CU29" cm="1">
        <f t="array" ref="CU29">IF(CS29="",0,IF(SUMPRODUCT(--(ISNUMBER(SEARCH(CS29,$C$2:$C$33))+ISNUMBER(SEARCH($C$2:$C$33,CS29))))&gt;0,1,0))</f>
        <v>1</v>
      </c>
      <c r="CV29" cm="1">
        <f t="array" ref="CV29">IF(CS29="",0,IFERROR(IF(SUMPRODUCT((ISNUMBER(SEARCH(CS29,$C$2:$C$33))+ISNUMBER(SEARCH($C$2:$C$33,CS29)))*(ISNUMBER(SEARCH($B$2:$B$33,'Other analyst '!B29))+ISNUMBER(SEARCH('Other analyst '!B29,$B$2:$B$33))))&gt;0,1,0),0))</f>
        <v>0</v>
      </c>
      <c r="CW29" s="36" t="str">
        <f>'Other analyst '!AD29</f>
        <v>Ty Simpson</v>
      </c>
      <c r="CX29">
        <f t="shared" si="14"/>
        <v>0</v>
      </c>
      <c r="CY29" cm="1">
        <f t="array" ref="CY29">IF(CW29="",0,IF(SUMPRODUCT(--(ISNUMBER(SEARCH(CW29,$C$2:$C$33))+ISNUMBER(SEARCH($C$2:$C$33,CW29))))&gt;0,1,0))</f>
        <v>1</v>
      </c>
      <c r="CZ29" cm="1">
        <f t="array" ref="CZ29">IF(CW29="",0,IF(SUMPRODUCT((ISNUMBER(SEARCH(CW29,$C$2:$C$33))+ISNUMBER(SEARCH($C$2:$C$33,CW29)))*($B$2:$B$33=$B29))&gt;0,1,0))</f>
        <v>0</v>
      </c>
      <c r="DA29" s="36" t="str">
        <f>'Other analyst '!AE29</f>
        <v>Kayden McDonald</v>
      </c>
      <c r="DB29">
        <f t="shared" si="15"/>
        <v>0</v>
      </c>
      <c r="DC29" cm="1">
        <f t="array" ref="DC29">IF(DA29="",0,IF(SUMPRODUCT(--(ISNUMBER(SEARCH(DA29,$C$2:$C$33))+ISNUMBER(SEARCH($C$2:$C$33,DA29))))&gt;0,1,0))</f>
        <v>0</v>
      </c>
      <c r="DD29" cm="1">
        <f t="array" ref="DD29">IF(DA29="",0,IF(SUMPRODUCT((ISNUMBER(SEARCH(DA29,$C$2:$C$33))+ISNUMBER(SEARCH($C$2:$C$33,DA29)))*($B$2:$B$33=$B29))&gt;0,1,0))</f>
        <v>0</v>
      </c>
      <c r="DE29" s="36" t="str">
        <f>'Other analyst '!AF29</f>
        <v>Kayden McDonald</v>
      </c>
      <c r="DF29">
        <f t="shared" si="16"/>
        <v>0</v>
      </c>
      <c r="DG29" cm="1">
        <f t="array" ref="DG29">IF(DE29="",0,IF(SUMPRODUCT(--(ISNUMBER(SEARCH(DE29,$C$2:$C$33))+ISNUMBER(SEARCH($C$2:$C$33,DE29))))&gt;0,1,0))</f>
        <v>0</v>
      </c>
      <c r="DH29" cm="1">
        <f t="array" ref="DH29">IF(DE29="",0,IF(SUMPRODUCT((ISNUMBER(SEARCH(DE29,$C$2:$C$33))+ISNUMBER(SEARCH($C$2:$C$33,DE29)))*($B$2:$B$33=$B29))&gt;0,1,0))</f>
        <v>0</v>
      </c>
      <c r="DI29" s="28" t="str">
        <f>'Other analyst '!AG29</f>
        <v>Blake Miller</v>
      </c>
      <c r="DJ29">
        <f t="shared" si="17"/>
        <v>0</v>
      </c>
      <c r="DK29" cm="1">
        <f t="array" ref="DK29">IF(DI29="",0,IF(SUMPRODUCT(--(ISNUMBER(SEARCH(DI29,$C$2:$C$33))+ISNUMBER(SEARCH($C$2:$C$33,DI29))))&gt;0,1,0))</f>
        <v>1</v>
      </c>
      <c r="DL29" cm="1">
        <f t="array" ref="DL29">IF(DI29="",0,IF(SUMPRODUCT((ISNUMBER(SEARCH(DI29,$C$2:$C$33))+ISNUMBER(SEARCH($C$2:$C$33,DI29)))*($B$2:$B$33=$B29))&gt;0,1,0))</f>
        <v>0</v>
      </c>
      <c r="DM29" s="36" t="str">
        <f>'Other analyst '!AB29</f>
        <v>Blake Miller</v>
      </c>
      <c r="DN29">
        <f t="shared" si="18"/>
        <v>0</v>
      </c>
      <c r="DO29" cm="1">
        <f t="array" ref="DO29">IF(DM29="",0,IF(SUMPRODUCT(--(ISNUMBER(SEARCH(DM29,$C$2:$C$33))+ISNUMBER(SEARCH($C$2:$C$33,DM29))))&gt;0,1,0))</f>
        <v>1</v>
      </c>
      <c r="DP29" cm="1">
        <f t="array" ref="DP29">IF(DM29="",0,IFERROR(IF(SUMPRODUCT((ISNUMBER(SEARCH(DM29,$C$2:$C$33))+ISNUMBER(SEARCH($C$2:$C$33,DM29)))*(ISNUMBER(SEARCH($B$2:$B$33,'Other analyst '!B29))+ISNUMBER(SEARCH('Other analyst '!B29,$B$2:$B$33))))&gt;0,1,0),0))</f>
        <v>0</v>
      </c>
      <c r="DQ29" s="28" t="str">
        <f>'Other analyst '!AC29</f>
        <v>Chase Bisontis</v>
      </c>
      <c r="DR29">
        <f t="shared" si="19"/>
        <v>0</v>
      </c>
      <c r="DS29" cm="1">
        <f t="array" ref="DS29">IF(DQ29="",0,IF(SUMPRODUCT(--(ISNUMBER(SEARCH(DQ29,$C$2:$C$33))+ISNUMBER(SEARCH($C$2:$C$33,DQ29))))&gt;0,1,0))</f>
        <v>0</v>
      </c>
      <c r="DT29" cm="1">
        <f t="array" ref="DT29">IF(DQ29="",0,IFERROR(IF(SUMPRODUCT((ISNUMBER(SEARCH(DQ29,$C$2:$C$33))+ISNUMBER(SEARCH($C$2:$C$33,DQ29)))*(ISNUMBER(SEARCH($B$2:$B$33,'Other analyst '!B29))+ISNUMBER(SEARCH('Other analyst '!B29,$B$2:$B$33))))&gt;0,1,0),0))</f>
        <v>0</v>
      </c>
      <c r="DU29" t="str">
        <f>IFERROR(TRIM(LEFT(IF(ISNUMBER(SEARCH("]",'Other analyst '!X29)),MID('Other analyst '!X29,SEARCH("]",'Other analyst '!X29)+1,200),'Other analyst '!X29),IFERROR(SEARCH(" (",IF(ISNUMBER(SEARCH("]",'Other analyst '!X29)),MID('Other analyst '!X29,SEARCH("]",'Other analyst '!X29)+1,200),'Other analyst '!X29))-1,LEN('Other analyst '!X29)))),"")</f>
        <v>Blake Miller</v>
      </c>
      <c r="DV29">
        <f>IF(DU29="",0,IF(OR(ISNUMBER(SEARCH(DU29,C29)),ISNUMBER(SEARCH(C29,DU29))),1,0))</f>
        <v>0</v>
      </c>
      <c r="DW29" cm="1">
        <f t="array" ref="DW29">IF(DU29="",0,IF(SUMPRODUCT((ISNUMBER(SEARCH(DU29,$C$2:$C$33))+ISNUMBER(SEARCH($C$2:$C$33,DU29))))&gt;0,1,0))</f>
        <v>1</v>
      </c>
      <c r="DX29">
        <v>0</v>
      </c>
      <c r="DY29" t="str">
        <f>IFERROR(TRIM(LEFT(IF(ISNUMBER(SEARCH("]",'Other analyst '!Y29)),MID('Other analyst '!Y29,SEARCH("]",'Other analyst '!Y29)+1,200),'Other analyst '!Y29),IFERROR(SEARCH(" (",IF(ISNUMBER(SEARCH("]",'Other analyst '!Y29)),MID('Other analyst '!Y29,SEARCH("]",'Other analyst '!Y29)+1,200),'Other analyst '!Y29))-1,LEN('Other analyst '!Y29)))),"")</f>
        <v>Blake Miller</v>
      </c>
      <c r="DZ29">
        <f>IF(DY29="",0,IF(OR(ISNUMBER(SEARCH(DY29,C29)),ISNUMBER(SEARCH(C29,DY29))),1,0))</f>
        <v>0</v>
      </c>
      <c r="EA29" cm="1">
        <f t="array" ref="EA29">IF(DY29="",0,IF(SUMPRODUCT((ISNUMBER(SEARCH(DY29,$C$2:$C$33))+ISNUMBER(SEARCH($C$2:$C$33,DY29))))&gt;0,1,0))</f>
        <v>1</v>
      </c>
      <c r="EB29">
        <v>0</v>
      </c>
      <c r="EC29" t="str">
        <f>IFERROR(TRIM(LEFT(IF(ISNUMBER(SEARCH("]",'Other analyst '!Z29)),MID('Other analyst '!Z29,SEARCH("]",'Other analyst '!Z29)+1,200),'Other analyst '!Z29),IFERROR(SEARCH(" (",IF(ISNUMBER(SEARCH("]",'Other analyst '!Z29)),MID('Other analyst '!Z29,SEARCH("]",'Other analyst '!Z29)+1,200),'Other analyst '!Z29))-1,LEN('Other analyst '!Z29)))),"")</f>
        <v>Blake Miller</v>
      </c>
      <c r="ED29">
        <f>IF(EC29="",0,IF(OR(ISNUMBER(SEARCH(EC29,C29)),ISNUMBER(SEARCH(C29,EC29))),1,0))</f>
        <v>0</v>
      </c>
      <c r="EE29" cm="1">
        <f t="array" ref="EE29">IF(EC29="",0,IF(SUMPRODUCT((ISNUMBER(SEARCH(EC29,$C$2:$C$33))+ISNUMBER(SEARCH($C$2:$C$33,EC29))))&gt;0,1,0))</f>
        <v>1</v>
      </c>
      <c r="EF29">
        <v>0</v>
      </c>
      <c r="EG29" t="str">
        <f>IFERROR(TRIM(LEFT(IF(ISNUMBER(SEARCH("]",'Other analyst '!AA29)),MID('Other analyst '!AA29,SEARCH("]",'Other analyst '!AA29)+1,200),'Other analyst '!AA29),IFERROR(SEARCH(" (",IF(ISNUMBER(SEARCH("]",'Other analyst '!AA29)),MID('Other analyst '!AA29,SEARCH("]",'Other analyst '!AA29)+1,200),'Other analyst '!AA29))-1,LEN('Other analyst '!AA29)))),"")</f>
        <v>Kayden McDonald</v>
      </c>
      <c r="EH29">
        <f>IF(EG29="",0,IF(OR(ISNUMBER(SEARCH(EG29,C29)),ISNUMBER(SEARCH(C29,EG29))),1,0))</f>
        <v>0</v>
      </c>
      <c r="EI29" cm="1">
        <f t="array" ref="EI29">IF(EG29="",0,IF(SUMPRODUCT((ISNUMBER(SEARCH(EG29,$C$2:$C$33))+ISNUMBER(SEARCH($C$2:$C$33,EG29))))&gt;0,1,0))</f>
        <v>0</v>
      </c>
      <c r="EJ29">
        <v>0</v>
      </c>
      <c r="EK29">
        <f>K29+L29+M29+N29+O29+P29+AF29+AI29+AL29+AP29+AT29+AX29+BB29+BF29+BJ29+BN29+BR29+BV29+CD29+CH29+CL29+CP29+CT29+DV29+DZ29+ED29+EH29+DN29+DR29+CX29+DB29+DF29+DJ29</f>
        <v>2</v>
      </c>
    </row>
    <row r="30" spans="1:141">
      <c r="A30" s="30">
        <v>29</v>
      </c>
      <c r="B30" s="30" t="str">
        <f>'Actual nfl first round'!C30</f>
        <v>Chiefs</v>
      </c>
      <c r="C30" s="31" t="str" cm="1">
        <f t="array" ref="C30">_xlfn.LET(_xlpm.actual, 'Actual nfl first round'!D30,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Peter Woods</v>
      </c>
      <c r="D30" s="32" t="str">
        <f>'Colin''s Mock'!D30</f>
        <v>Denzel Boston</v>
      </c>
      <c r="E30" s="32" t="str">
        <f>_xlfn.LET(_xlpm.raw, 'Other analyst '!C30, _xlpm.s, IF(LEFT(_xlpm.raw,1)="[", MID(_xlpm.raw, FIND("] ",_xlpm.raw)+2, 999), _xlpm.raw), IFERROR(TRIM(LEFT(_xlpm.s, FIND(" (",_xlpm.s)-1)), _xlpm.raw))</f>
        <v>Colton Hood</v>
      </c>
      <c r="F30" s="32" t="str">
        <f>_xlfn.LET(_xlpm.raw, 'Other analyst '!D30, _xlpm.s, IF(LEFT(_xlpm.raw,1)="[", MID(_xlpm.raw, FIND("] ",_xlpm.raw)+2, 999), _xlpm.raw), IFERROR(TRIM(LEFT(_xlpm.s, FIND(" (",_xlpm.s)-1)), _xlpm.raw))</f>
        <v>Colton Hood</v>
      </c>
      <c r="G30" s="32" t="str">
        <f>_xlfn.LET(_xlpm.raw, 'Other analyst '!E30, _xlpm.s, IF(LEFT(_xlpm.raw,1)="[", MID(_xlpm.raw, FIND("] ",_xlpm.raw)+2, 999), _xlpm.raw), IFERROR(TRIM(LEFT(_xlpm.s, FIND(" (",_xlpm.s)-1)), _xlpm.raw))</f>
        <v>Malachi Lawrence</v>
      </c>
      <c r="H30" s="32" t="str">
        <f>_xlfn.LET(_xlpm.raw, 'Other analyst '!F30, _xlpm.s, IF(LEFT(_xlpm.raw,1)="[", MID(_xlpm.raw, FIND("] ",_xlpm.raw)+2, 999), _xlpm.raw), IFERROR(TRIM(LEFT(_xlpm.s, FIND(" (",_xlpm.s)-1)), _xlpm.raw))</f>
        <v>Chris Johnson</v>
      </c>
      <c r="I30" s="32" t="str">
        <f>_xlfn.LET(_xlpm.raw, 'Other analyst '!G30, _xlpm.s, IF(LEFT(_xlpm.raw,1)="[", MID(_xlpm.raw, FIND("] ",_xlpm.raw)+2, 999), _xlpm.raw), IFERROR(TRIM(LEFT(_xlpm.s, FIND(" (",_xlpm.s)-1)), _xlpm.raw))</f>
        <v>Colton Hood</v>
      </c>
      <c r="K30" s="1">
        <f t="shared" si="0"/>
        <v>0</v>
      </c>
      <c r="L30" s="1">
        <f t="shared" si="1"/>
        <v>0</v>
      </c>
      <c r="M30" s="1">
        <f t="shared" si="2"/>
        <v>0</v>
      </c>
      <c r="N30" s="1">
        <f t="shared" si="3"/>
        <v>0</v>
      </c>
      <c r="O30" s="1">
        <f t="shared" si="4"/>
        <v>0</v>
      </c>
      <c r="P30" s="1">
        <f t="shared" si="5"/>
        <v>0</v>
      </c>
      <c r="Q30" s="1" cm="1">
        <f t="array" ref="Q30">IF(D30="", 0, IF(SUMPRODUCT(--(ISNUMBER(SEARCH(D30, $C$2:$C$33)) + ISNUMBER(SEARCH($C$2:$C$33, D30))))&gt;0, 1, 0))</f>
        <v>0</v>
      </c>
      <c r="R30" s="1" cm="1">
        <f t="array" ref="R30">IF(E30="", 0, IF(SUMPRODUCT(--(ISNUMBER(SEARCH(E30, $C$2:$C$33)) + ISNUMBER(SEARCH($C$2:$C$33, E30))))&gt;0, 1, 0))</f>
        <v>0</v>
      </c>
      <c r="S30" s="1" cm="1">
        <f t="array" ref="S30">IF(F30="", 0, IF(SUMPRODUCT(--(ISNUMBER(SEARCH(F30, $C$2:$C$33)) + ISNUMBER(SEARCH($C$2:$C$33, F30))))&gt;0, 1, 0))</f>
        <v>0</v>
      </c>
      <c r="T30" s="1" cm="1">
        <f t="array" ref="T30">IF(G30="", 0, IF(SUMPRODUCT(--(ISNUMBER(SEARCH(G30, $C$2:$C$33)) + ISNUMBER(SEARCH($C$2:$C$33, G30))))&gt;0, 1, 0))</f>
        <v>1</v>
      </c>
      <c r="U30" s="1" cm="1">
        <f t="array" ref="U30">IF(H30="", 0, IF(SUMPRODUCT(--(ISNUMBER(SEARCH(H30, $C$2:$C$33)) + ISNUMBER(SEARCH($C$2:$C$33, H30))))&gt;0, 1, 0))</f>
        <v>1</v>
      </c>
      <c r="V30" s="1" cm="1">
        <f t="array" ref="V30">IF(I30="", 0, IF(SUMPRODUCT(--(ISNUMBER(SEARCH(I30, $C$2:$C$33)) + ISNUMBER(SEARCH($C$2:$C$33, I30))))&gt;0, 1, 0))</f>
        <v>0</v>
      </c>
      <c r="W30" s="1" cm="1">
        <f t="array" ref="W30">IF(D30="",0,IF(SUMPRODUCT((ISNUMBER(SEARCH(D30,$C$2:$C$33))+ISNUMBER(SEARCH($C$2:$C$33,D30)))*($B$2:$B$33=$B30))&gt;0,1,0))</f>
        <v>0</v>
      </c>
      <c r="X30" s="1" cm="1">
        <f t="array" ref="X30">IF(E30="",0,IF(SUMPRODUCT((ISNUMBER(SEARCH(E30,$C$2:$C$33))+ISNUMBER(SEARCH($C$2:$C$33,E30)))*($B$2:$B$33=$B30))&gt;0,1,0))</f>
        <v>0</v>
      </c>
      <c r="Y30" s="1" cm="1">
        <f t="array" ref="Y30">IF(F30="",0,IF(SUMPRODUCT((ISNUMBER(SEARCH(F30,$C$2:$C$33))+ISNUMBER(SEARCH($C$2:$C$33,F30)))*($B$2:$B$33=$B30))&gt;0,1,0))</f>
        <v>0</v>
      </c>
      <c r="Z30" s="1" cm="1">
        <f t="array" ref="Z30">IF(G30="",0,IF(SUMPRODUCT((ISNUMBER(SEARCH(G30,$C$2:$C$33))+ISNUMBER(SEARCH($C$2:$C$33,G30)))*($B$2:$B$33=$B30))&gt;0,1,0))</f>
        <v>0</v>
      </c>
      <c r="AA30" s="1" cm="1">
        <f t="array" ref="AA30">IF(H30="",0,IF(SUMPRODUCT((ISNUMBER(SEARCH(H30,$C$2:$C$33))+ISNUMBER(SEARCH($C$2:$C$33,H30)))*($B$2:$B$33=$B30))&gt;0,1,0))</f>
        <v>0</v>
      </c>
      <c r="AB30" s="1" cm="1">
        <f t="array" ref="AB30">IF(I30="",0,IF(SUMPRODUCT((ISNUMBER(SEARCH(I30,$C$2:$C$33))+ISNUMBER(SEARCH($C$2:$C$33,I30)))*($B$2:$B$33=$B30))&gt;0,1,0))</f>
        <v>0</v>
      </c>
      <c r="AC30" s="28" t="s">
        <v>137</v>
      </c>
      <c r="AD30" s="36" t="s">
        <v>69</v>
      </c>
      <c r="AE30" s="36" t="s">
        <v>67</v>
      </c>
      <c r="AF30">
        <f t="shared" si="6"/>
        <v>0</v>
      </c>
      <c r="AG30" cm="1">
        <f t="array" ref="AG30">IF(AC30="",0,IF(SUMPRODUCT((ISNUMBER(SEARCH(AC30,$C$2:$C$33))+ISNUMBER(SEARCH($C$2:$C$33,AC30))))&gt;0,1,0))</f>
        <v>0</v>
      </c>
      <c r="AH30" cm="1">
        <f t="array" ref="AH30">IF(AC30="",0,IF(SUMPRODUCT((ISNUMBER(SEARCH(AC30,$C$2:$C$33))+ISNUMBER(SEARCH($C$2:$C$33,AC30)))*($B$2:$B$33=$B30))&gt;0,1,0))</f>
        <v>0</v>
      </c>
      <c r="AI30">
        <f t="shared" si="7"/>
        <v>0</v>
      </c>
      <c r="AJ30" cm="1">
        <f t="array" ref="AJ30">IF(AD30="",0,IF(SUMPRODUCT((ISNUMBER(SEARCH(AD30,$C$2:$C$33))+ISNUMBER(SEARCH($C$2:$C$33,AD30))))&gt;0,1,0))</f>
        <v>1</v>
      </c>
      <c r="AK30" cm="1">
        <f t="array" ref="AK30">IF(AD30="",0,IF(SUMPRODUCT((ISNUMBER(SEARCH(AD30,$C$2:$C$33))+ISNUMBER(SEARCH($C$2:$C$33,AD30)))*($B$2:$B$33=$B30))&gt;0,1,0))</f>
        <v>0</v>
      </c>
      <c r="AL30">
        <f t="shared" si="8"/>
        <v>0</v>
      </c>
      <c r="AM30" cm="1">
        <f t="array" ref="AM30">IF(AE30="",0,IF(SUMPRODUCT((ISNUMBER(SEARCH(AE30,$C$2:$C$33))+ISNUMBER(SEARCH($C$2:$C$33,AE30))))&gt;0,1,0))</f>
        <v>1</v>
      </c>
      <c r="AN30" cm="1">
        <f t="array" ref="AN30">IF(AE30="",0,IF(SUMPRODUCT((ISNUMBER(SEARCH(AE30,$C$2:$C$33))+ISNUMBER(SEARCH($C$2:$C$33,AE30)))*($B$2:$B$33=$B30))&gt;0,1,0))</f>
        <v>0</v>
      </c>
      <c r="AO30" s="64" t="str" cm="1">
        <f t="array" ref="AO30">_xlfn.LET(_xlpm.raw,'Other analyst '!K30,_xlpm.mockNames,'Colin''s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Ty Simpson</v>
      </c>
      <c r="AP30">
        <f>IF(OR(AO30="",AO30=0),0,IF(OR(ISNUMBER(SEARCH(AO30,$C30)),ISNUMBER(SEARCH($C30,AO30))),1,0))</f>
        <v>0</v>
      </c>
      <c r="AQ30" cm="1">
        <f t="array" ref="AQ30">IF(OR(AO30="",AO30=0),0,IF(SUMPRODUCT(--(ISNUMBER(SEARCH(AO30,$C$2:$C$33))+ISNUMBER(SEARCH($C$2:$C$33,AO30))))&gt;0,1,0))</f>
        <v>1</v>
      </c>
      <c r="AR30" cm="1">
        <f t="array" ref="AR30">IF(OR(AO30="",AO30=0),0,IF(SUMPRODUCT((ISNUMBER(SEARCH(AO30,$C$2:$C$33))+ISNUMBER(SEARCH($C$2:$C$33,AO30)))*($B$2:$B$33=$B30))&gt;0,1,0))</f>
        <v>0</v>
      </c>
      <c r="AS30" s="64" t="str" cm="1">
        <f t="array" ref="AS30">_xlfn.LET(_xlpm.raw,'Other analyst '!L30,_xlpm.mockNames,'Colin''s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KC Concepcion</v>
      </c>
      <c r="AT30">
        <f>IF(OR(AS30="",AS30=0),0,IF(OR(ISNUMBER(SEARCH(AS30,$C30)),ISNUMBER(SEARCH($C30,AS30))),1,0))</f>
        <v>0</v>
      </c>
      <c r="AU30" cm="1">
        <f t="array" ref="AU30">IF(OR(AS30="",AS30=0),0,IF(SUMPRODUCT(--(ISNUMBER(SEARCH(AS30,$C$2:$C$33))+ISNUMBER(SEARCH($C$2:$C$33,AS30))))&gt;0,1,0))</f>
        <v>1</v>
      </c>
      <c r="AV30" cm="1">
        <f t="array" ref="AV30">IF(OR(AS30="",AS30=0),0,IF(SUMPRODUCT((ISNUMBER(SEARCH(AS30,$C$2:$C$33))+ISNUMBER(SEARCH($C$2:$C$33,AS30)))*($B$2:$B$33=$B30))&gt;0,1,0))</f>
        <v>0</v>
      </c>
      <c r="AW30" s="64" t="str" cm="1">
        <f t="array" ref="AW30">_xlfn.LET(_xlpm.raw,'Other analyst '!M30,_xlpm.mockNames,'Colin''s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Akheem Mesidor</v>
      </c>
      <c r="AX30">
        <f>IF(OR(AW30="",AW30=0),0,IF(OR(ISNUMBER(SEARCH(AW30,$C30)),ISNUMBER(SEARCH($C30,AW30))),1,0))</f>
        <v>0</v>
      </c>
      <c r="AY30" cm="1">
        <f t="array" ref="AY30">IF(OR(AW30="",AW30=0),0,IF(SUMPRODUCT(--(ISNUMBER(SEARCH(AW30,$C$2:$C$33))+ISNUMBER(SEARCH($C$2:$C$33,AW30))))&gt;0,1,0))</f>
        <v>1</v>
      </c>
      <c r="AZ30" cm="1">
        <f t="array" ref="AZ30">IF(OR(AW30="",AW30=0),0,IF(SUMPRODUCT((ISNUMBER(SEARCH(AW30,$C$2:$C$33))+ISNUMBER(SEARCH($C$2:$C$33,AW30)))*($B$2:$B$33=$B30))&gt;0,1,0))</f>
        <v>0</v>
      </c>
      <c r="BA30" s="64" t="str" cm="1">
        <f t="array" ref="BA30">_xlfn.LET(_xlpm.raw,'Other analyst '!N30,_xlpm.mockNames,'Colin''s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Malachi Lawrence</v>
      </c>
      <c r="BB30">
        <f>IF(OR(BA30="",BA30=0),0,IF(OR(ISNUMBER(SEARCH(BA30,$C30)),ISNUMBER(SEARCH($C30,BA30))),1,0))</f>
        <v>0</v>
      </c>
      <c r="BC30" cm="1">
        <f t="array" ref="BC30">IF(OR(BA30="",BA30=0),0,IF(SUMPRODUCT(--(ISNUMBER(SEARCH(BA30,$C$2:$C$33))+ISNUMBER(SEARCH($C$2:$C$33,BA30))))&gt;0,1,0))</f>
        <v>1</v>
      </c>
      <c r="BD30" cm="1">
        <f t="array" ref="BD30">IF(OR(BA30="",BA30=0),0,IF(SUMPRODUCT((ISNUMBER(SEARCH(BA30,$C$2:$C$33))+ISNUMBER(SEARCH($C$2:$C$33,BA30)))*($B$2:$B$33=$B30))&gt;0,1,0))</f>
        <v>0</v>
      </c>
      <c r="BE30" s="65" t="str" cm="1">
        <f t="array" ref="BE30">_xlfn.LET(_xlpm.raw,'Other analyst '!O30,_xlpm.mockNames,'Colin''s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Colton Hood</v>
      </c>
      <c r="BF30">
        <f>IF(OR(BE30="",BE30=0),0,IF(OR(ISNUMBER(SEARCH(BE30,$C30)),ISNUMBER(SEARCH($C30,BE30))),1,0))</f>
        <v>0</v>
      </c>
      <c r="BG30" cm="1">
        <f t="array" ref="BG30">IF(OR(BE30="",BE30=0),0,IF(SUMPRODUCT(--(ISNUMBER(SEARCH(BE30,$C$2:$C$33))+ISNUMBER(SEARCH($C$2:$C$33,BE30))))&gt;0,1,0))</f>
        <v>0</v>
      </c>
      <c r="BH30" cm="1">
        <f t="array" ref="BH30">IF(OR(BE30="",BE30=0),0,IF(SUMPRODUCT((ISNUMBER(SEARCH(BE30,$C$2:$C$33))+ISNUMBER(SEARCH($C$2:$C$33,BE30)))*($B$2:$B$33=$B30))&gt;0,1,0))</f>
        <v>0</v>
      </c>
      <c r="BI30" s="65" t="str" cm="1">
        <f t="array" ref="BI30">_xlfn.LET(_xlpm.raw,'Other analyst '!P30,_xlpm.mockNames,'Colin''s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Colton Hood</v>
      </c>
      <c r="BJ30">
        <f>IF(OR(BI30="",BI30=0),0,IF(OR(ISNUMBER(SEARCH(BI30,$C30)),ISNUMBER(SEARCH($C30,BI30))),1,0))</f>
        <v>0</v>
      </c>
      <c r="BK30" cm="1">
        <f t="array" ref="BK30">IF(OR(BI30="",BI30=0),0,IF(SUMPRODUCT(--(ISNUMBER(SEARCH(BI30,$C$2:$C$33))+ISNUMBER(SEARCH($C$2:$C$33,BI30))))&gt;0,1,0))</f>
        <v>0</v>
      </c>
      <c r="BL30" cm="1">
        <f t="array" ref="BL30">IF(OR(BI30="",BI30=0),0,IF(SUMPRODUCT((ISNUMBER(SEARCH(BI30,$C$2:$C$33))+ISNUMBER(SEARCH($C$2:$C$33,BI30)))*($B$2:$B$33=$B30))&gt;0,1,0))</f>
        <v>0</v>
      </c>
      <c r="BM30" s="65" t="str" cm="1">
        <f t="array" ref="BM30">_xlfn.LET(_xlpm.raw,'Other analyst '!Q30,_xlpm.mockNames,'Colin''s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Treydan Stukes</v>
      </c>
      <c r="BN30">
        <f>IF(OR(BM30="",BM30=0),0,IF(OR(ISNUMBER(SEARCH(BM30,$C30)),ISNUMBER(SEARCH($C30,BM30))),1,0))</f>
        <v>0</v>
      </c>
      <c r="BO30" cm="1">
        <f t="array" ref="BO30">IF(OR(BM30="",BM30=0),0,IF(SUMPRODUCT(--(ISNUMBER(SEARCH(BM30,$C$2:$C$33))+ISNUMBER(SEARCH($C$2:$C$33,BM30))))&gt;0,1,0))</f>
        <v>0</v>
      </c>
      <c r="BP30" cm="1">
        <f t="array" ref="BP30">IF(OR(BM30="",BM30=0),0,IF(SUMPRODUCT((ISNUMBER(SEARCH(BM30,$C$2:$C$33))+ISNUMBER(SEARCH($C$2:$C$33,BM30)))*($B$2:$B$33=$B30))&gt;0,1,0))</f>
        <v>0</v>
      </c>
      <c r="BQ30" s="65" t="str" cm="1">
        <f t="array" ref="BQ30">_xlfn.LET(_xlpm.raw,'Other analyst '!R30,_xlpm.mockNames,'Colin''s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Colton Hood</v>
      </c>
      <c r="BR30">
        <f>IF(OR(BQ30="",BQ30=0),0,IF(OR(ISNUMBER(SEARCH(BQ30,$C30)),ISNUMBER(SEARCH($C30,BQ30))),1,0))</f>
        <v>0</v>
      </c>
      <c r="BS30" cm="1">
        <f t="array" ref="BS30">IF(OR(BQ30="",BQ30=0),0,IF(SUMPRODUCT(--(ISNUMBER(SEARCH(BQ30,$C$2:$C$33))+ISNUMBER(SEARCH($C$2:$C$33,BQ30))))&gt;0,1,0))</f>
        <v>0</v>
      </c>
      <c r="BT30" cm="1">
        <f t="array" ref="BT30">IF(OR(BQ30="",BQ30=0),0,IF(SUMPRODUCT((ISNUMBER(SEARCH(BQ30,$C$2:$C$33))+ISNUMBER(SEARCH($C$2:$C$33,BQ30)))*($B$2:$B$33=$B30))&gt;0,1,0))</f>
        <v>0</v>
      </c>
      <c r="BU30" t="str">
        <f>'Colin Mock wTrade'!D30</f>
        <v>Denzel Boston</v>
      </c>
      <c r="BV30">
        <f>IF(BU30="",0,IF(OR(ISNUMBER(SEARCH(BU30,C30)),ISNUMBER(SEARCH(C30,BU30))),1,0))</f>
        <v>0</v>
      </c>
      <c r="BW30" cm="1">
        <f t="array" ref="BW30">IF(BU30="",0,IF(SUMPRODUCT(--(ISNUMBER(SEARCH(BU30,$C$2:$C$33))+ISNUMBER(SEARCH($C$2:$C$33,BU30))))&gt;0,1,0))</f>
        <v>0</v>
      </c>
      <c r="BX30" cm="1">
        <f t="array" ref="BX30">IF(BU30="",0,IFERROR(IF(SUMPRODUCT((ISNUMBER(SEARCH(BU30,$C$2:$C$33))+ISNUMBER(SEARCH($C$2:$C$33,BU30)))*($B$2:$B$33=VLOOKUP('Colin Mock wTrade'!C30,$CA$1:$CB$32,2,FALSE)))&gt;0,1,0),0))</f>
        <v>0</v>
      </c>
      <c r="CA30" t="s">
        <v>134</v>
      </c>
      <c r="CB30" t="s">
        <v>703</v>
      </c>
      <c r="CC30" t="str">
        <f>'Other analyst '!S30</f>
        <v>Peter Woods</v>
      </c>
      <c r="CD30">
        <f t="shared" si="9"/>
        <v>1</v>
      </c>
      <c r="CE30" cm="1">
        <f t="array" ref="CE30">IF(CC30="",0,IF(SUMPRODUCT(--(ISNUMBER(SEARCH(CC30,$C$2:$C$33))+ISNUMBER(SEARCH($C$2:$C$33,CC30))))&gt;0,1,0))</f>
        <v>1</v>
      </c>
      <c r="CF30" cm="1">
        <f t="array" ref="CF30">IF(CC30="",0,IF(SUMPRODUCT((ISNUMBER(SEARCH(CC30,$C$2:$C$33))+ISNUMBER(SEARCH($C$2:$C$33,CC30)))*($B$2:$B$33=$B30))&gt;0,1,0))</f>
        <v>1</v>
      </c>
      <c r="CG30" t="str">
        <f>'Other analyst '!T30</f>
        <v>Chris Johnson</v>
      </c>
      <c r="CH30">
        <f t="shared" si="10"/>
        <v>0</v>
      </c>
      <c r="CI30" cm="1">
        <f t="array" ref="CI30">IF(CG30="",0,IF(SUMPRODUCT(--(ISNUMBER(SEARCH(CG30,$C$2:$C$33))+ISNUMBER(SEARCH($C$2:$C$33,CG30))))&gt;0,1,0))</f>
        <v>1</v>
      </c>
      <c r="CJ30" cm="1">
        <f t="array" ref="CJ30">IF(CG30="",0,IF(SUMPRODUCT((ISNUMBER(SEARCH(CG30,$C$2:$C$33))+ISNUMBER(SEARCH($C$2:$C$33,CG30)))*($B$2:$B$33=$B30))&gt;0,1,0))</f>
        <v>0</v>
      </c>
      <c r="CK30" t="str">
        <f>'Other analyst '!U30</f>
        <v>Cashius Howell</v>
      </c>
      <c r="CL30">
        <f t="shared" si="11"/>
        <v>0</v>
      </c>
      <c r="CM30" cm="1">
        <f t="array" ref="CM30">IF(CK30="",0,IF(SUMPRODUCT(--(ISNUMBER(SEARCH(CK30,$C$2:$C$33))+ISNUMBER(SEARCH($C$2:$C$33,CK30))))&gt;0,1,0))</f>
        <v>0</v>
      </c>
      <c r="CN30" cm="1">
        <f t="array" ref="CN30">IF(CK30="",0,IF(SUMPRODUCT((ISNUMBER(SEARCH(CK30,$C$2:$C$33))+ISNUMBER(SEARCH($C$2:$C$33,CK30)))*($B$2:$B$33=$B30))&gt;0,1,0))</f>
        <v>0</v>
      </c>
      <c r="CO30" t="str">
        <f>'Other analyst '!V30</f>
        <v>Makai Lemon</v>
      </c>
      <c r="CP30">
        <f t="shared" si="12"/>
        <v>0</v>
      </c>
      <c r="CQ30" cm="1">
        <f t="array" ref="CQ30">IF(CO30="",0,IF(SUMPRODUCT(--(ISNUMBER(SEARCH(CO30,$C$2:$C$33))+ISNUMBER(SEARCH($C$2:$C$33,CO30))))&gt;0,1,0))</f>
        <v>1</v>
      </c>
      <c r="CR30" cm="1">
        <f t="array" ref="CR30">IF(CO30="",0,IF(SUMPRODUCT((ISNUMBER(SEARCH(CO30,$C$2:$C$33))+ISNUMBER(SEARCH($C$2:$C$33,CO30)))*($B$2:$B$33=$B30))&gt;0,1,0))</f>
        <v>0</v>
      </c>
      <c r="CS30" s="28" t="str">
        <f>'Other analyst '!W30</f>
        <v>Cashius Howell</v>
      </c>
      <c r="CT30">
        <f t="shared" si="13"/>
        <v>0</v>
      </c>
      <c r="CU30" cm="1">
        <f t="array" ref="CU30">IF(CS30="",0,IF(SUMPRODUCT(--(ISNUMBER(SEARCH(CS30,$C$2:$C$33))+ISNUMBER(SEARCH($C$2:$C$33,CS30))))&gt;0,1,0))</f>
        <v>0</v>
      </c>
      <c r="CV30" cm="1">
        <f t="array" ref="CV30">IF(CS30="",0,IFERROR(IF(SUMPRODUCT((ISNUMBER(SEARCH(CS30,$C$2:$C$33))+ISNUMBER(SEARCH($C$2:$C$33,CS30)))*(ISNUMBER(SEARCH($B$2:$B$33,'Other analyst '!B30))+ISNUMBER(SEARCH('Other analyst '!B30,$B$2:$B$33))))&gt;0,1,0),0))</f>
        <v>0</v>
      </c>
      <c r="CW30" s="36" t="str">
        <f>'Other analyst '!AD30</f>
        <v>Omar Cooper Jr.</v>
      </c>
      <c r="CX30">
        <f t="shared" si="14"/>
        <v>0</v>
      </c>
      <c r="CY30" cm="1">
        <f t="array" ref="CY30">IF(CW30="",0,IF(SUMPRODUCT(--(ISNUMBER(SEARCH(CW30,$C$2:$C$33))+ISNUMBER(SEARCH($C$2:$C$33,CW30))))&gt;0,1,0))</f>
        <v>1</v>
      </c>
      <c r="CZ30" cm="1">
        <f t="array" ref="CZ30">IF(CW30="",0,IF(SUMPRODUCT((ISNUMBER(SEARCH(CW30,$C$2:$C$33))+ISNUMBER(SEARCH($C$2:$C$33,CW30)))*($B$2:$B$33=$B30))&gt;0,1,0))</f>
        <v>0</v>
      </c>
      <c r="DA30" s="36" t="str">
        <f>'Other analyst '!AE30</f>
        <v>Colton Hood</v>
      </c>
      <c r="DB30">
        <f t="shared" si="15"/>
        <v>0</v>
      </c>
      <c r="DC30" cm="1">
        <f t="array" ref="DC30">IF(DA30="",0,IF(SUMPRODUCT(--(ISNUMBER(SEARCH(DA30,$C$2:$C$33))+ISNUMBER(SEARCH($C$2:$C$33,DA30))))&gt;0,1,0))</f>
        <v>0</v>
      </c>
      <c r="DD30" cm="1">
        <f t="array" ref="DD30">IF(DA30="",0,IF(SUMPRODUCT((ISNUMBER(SEARCH(DA30,$C$2:$C$33))+ISNUMBER(SEARCH($C$2:$C$33,DA30)))*($B$2:$B$33=$B30))&gt;0,1,0))</f>
        <v>0</v>
      </c>
      <c r="DE30" s="28" t="str">
        <f>'Other analyst '!AF30</f>
        <v>Ty Simpson</v>
      </c>
      <c r="DF30">
        <f t="shared" si="16"/>
        <v>0</v>
      </c>
      <c r="DG30" cm="1">
        <f t="array" ref="DG30">IF(DE30="",0,IF(SUMPRODUCT(--(ISNUMBER(SEARCH(DE30,$C$2:$C$33))+ISNUMBER(SEARCH($C$2:$C$33,DE30))))&gt;0,1,0))</f>
        <v>1</v>
      </c>
      <c r="DH30" cm="1">
        <f t="array" ref="DH30">IF(DE30="",0,IF(SUMPRODUCT((ISNUMBER(SEARCH(DE30,$C$2:$C$33))+ISNUMBER(SEARCH($C$2:$C$33,DE30)))*($B$2:$B$33=$B30))&gt;0,1,0))</f>
        <v>0</v>
      </c>
      <c r="DI30" s="28" t="str">
        <f>'Other analyst '!AG30</f>
        <v>Peter Woods</v>
      </c>
      <c r="DJ30">
        <f t="shared" si="17"/>
        <v>1</v>
      </c>
      <c r="DK30" cm="1">
        <f t="array" ref="DK30">IF(DI30="",0,IF(SUMPRODUCT(--(ISNUMBER(SEARCH(DI30,$C$2:$C$33))+ISNUMBER(SEARCH($C$2:$C$33,DI30))))&gt;0,1,0))</f>
        <v>1</v>
      </c>
      <c r="DL30" cm="1">
        <f t="array" ref="DL30">IF(DI30="",0,IF(SUMPRODUCT((ISNUMBER(SEARCH(DI30,$C$2:$C$33))+ISNUMBER(SEARCH($C$2:$C$33,DI30)))*($B$2:$B$33=$B30))&gt;0,1,0))</f>
        <v>1</v>
      </c>
      <c r="DM30" s="28" t="str">
        <f>'Other analyst '!AB30</f>
        <v>Colton Hood</v>
      </c>
      <c r="DN30">
        <f t="shared" si="18"/>
        <v>0</v>
      </c>
      <c r="DO30" cm="1">
        <f t="array" ref="DO30">IF(DM30="",0,IF(SUMPRODUCT(--(ISNUMBER(SEARCH(DM30,$C$2:$C$33))+ISNUMBER(SEARCH($C$2:$C$33,DM30))))&gt;0,1,0))</f>
        <v>0</v>
      </c>
      <c r="DP30" cm="1">
        <f t="array" ref="DP30">IF(DM30="",0,IFERROR(IF(SUMPRODUCT((ISNUMBER(SEARCH(DM30,$C$2:$C$33))+ISNUMBER(SEARCH($C$2:$C$33,DM30)))*(ISNUMBER(SEARCH($B$2:$B$33,'Other analyst '!B30))+ISNUMBER(SEARCH('Other analyst '!B30,$B$2:$B$33))))&gt;0,1,0),0))</f>
        <v>0</v>
      </c>
      <c r="DQ30" s="35" t="str">
        <f>'Other analyst '!AC30</f>
        <v>Peter Woods</v>
      </c>
      <c r="DR30">
        <f t="shared" si="19"/>
        <v>1</v>
      </c>
      <c r="DS30" cm="1">
        <f t="array" ref="DS30">IF(DQ30="",0,IF(SUMPRODUCT(--(ISNUMBER(SEARCH(DQ30,$C$2:$C$33))+ISNUMBER(SEARCH($C$2:$C$33,DQ30))))&gt;0,1,0))</f>
        <v>1</v>
      </c>
      <c r="DT30" cm="1">
        <f t="array" ref="DT30">IF(DQ30="",0,IFERROR(IF(SUMPRODUCT((ISNUMBER(SEARCH(DQ30,$C$2:$C$33))+ISNUMBER(SEARCH($C$2:$C$33,DQ30)))*(ISNUMBER(SEARCH($B$2:$B$33,'Other analyst '!B30))+ISNUMBER(SEARCH('Other analyst '!B30,$B$2:$B$33))))&gt;0,1,0),0))</f>
        <v>1</v>
      </c>
      <c r="DU30" t="str">
        <f>IFERROR(TRIM(LEFT(IF(ISNUMBER(SEARCH("]",'Other analyst '!X30)),MID('Other analyst '!X30,SEARCH("]",'Other analyst '!X30)+1,200),'Other analyst '!X30),IFERROR(SEARCH(" (",IF(ISNUMBER(SEARCH("]",'Other analyst '!X30)),MID('Other analyst '!X30,SEARCH("]",'Other analyst '!X30)+1,200),'Other analyst '!X30))-1,LEN('Other analyst '!X30)))),"")</f>
        <v>Chris Johnson</v>
      </c>
      <c r="DV30">
        <f>IF(DU30="",0,IF(OR(ISNUMBER(SEARCH(DU30,C30)),ISNUMBER(SEARCH(C30,DU30))),1,0))</f>
        <v>0</v>
      </c>
      <c r="DW30" cm="1">
        <f t="array" ref="DW30">IF(DU30="",0,IF(SUMPRODUCT((ISNUMBER(SEARCH(DU30,$C$2:$C$33))+ISNUMBER(SEARCH($C$2:$C$33,DU30))))&gt;0,1,0))</f>
        <v>1</v>
      </c>
      <c r="DX30">
        <v>0</v>
      </c>
      <c r="DY30" t="str">
        <f>IFERROR(TRIM(LEFT(IF(ISNUMBER(SEARCH("]",'Other analyst '!Y30)),MID('Other analyst '!Y30,SEARCH("]",'Other analyst '!Y30)+1,200),'Other analyst '!Y30),IFERROR(SEARCH(" (",IF(ISNUMBER(SEARCH("]",'Other analyst '!Y30)),MID('Other analyst '!Y30,SEARCH("]",'Other analyst '!Y30)+1,200),'Other analyst '!Y30))-1,LEN('Other analyst '!Y30)))),"")</f>
        <v>Chris Johnson</v>
      </c>
      <c r="DZ30">
        <f>IF(DY30="",0,IF(OR(ISNUMBER(SEARCH(DY30,C30)),ISNUMBER(SEARCH(C30,DY30))),1,0))</f>
        <v>0</v>
      </c>
      <c r="EA30" cm="1">
        <f t="array" ref="EA30">IF(DY30="",0,IF(SUMPRODUCT((ISNUMBER(SEARCH(DY30,$C$2:$C$33))+ISNUMBER(SEARCH($C$2:$C$33,DY30))))&gt;0,1,0))</f>
        <v>1</v>
      </c>
      <c r="EB30">
        <v>0</v>
      </c>
      <c r="EC30" t="str">
        <f>IFERROR(TRIM(LEFT(IF(ISNUMBER(SEARCH("]",'Other analyst '!Z30)),MID('Other analyst '!Z30,SEARCH("]",'Other analyst '!Z30)+1,200),'Other analyst '!Z30),IFERROR(SEARCH(" (",IF(ISNUMBER(SEARCH("]",'Other analyst '!Z30)),MID('Other analyst '!Z30,SEARCH("]",'Other analyst '!Z30)+1,200),'Other analyst '!Z30))-1,LEN('Other analyst '!Z30)))),"")</f>
        <v>Kayden McDonald</v>
      </c>
      <c r="ED30">
        <f>IF(EC30="",0,IF(OR(ISNUMBER(SEARCH(EC30,C30)),ISNUMBER(SEARCH(C30,EC30))),1,0))</f>
        <v>0</v>
      </c>
      <c r="EE30" cm="1">
        <f t="array" ref="EE30">IF(EC30="",0,IF(SUMPRODUCT((ISNUMBER(SEARCH(EC30,$C$2:$C$33))+ISNUMBER(SEARCH($C$2:$C$33,EC30))))&gt;0,1,0))</f>
        <v>0</v>
      </c>
      <c r="EF30">
        <v>0</v>
      </c>
      <c r="EG30" t="str">
        <f>IFERROR(TRIM(LEFT(IF(ISNUMBER(SEARCH("]",'Other analyst '!AA30)),MID('Other analyst '!AA30,SEARCH("]",'Other analyst '!AA30)+1,200),'Other analyst '!AA30),IFERROR(SEARCH(" (",IF(ISNUMBER(SEARCH("]",'Other analyst '!AA30)),MID('Other analyst '!AA30,SEARCH("]",'Other analyst '!AA30)+1,200),'Other analyst '!AA30))-1,LEN('Other analyst '!AA30)))),"")</f>
        <v>Colton Hood</v>
      </c>
      <c r="EH30">
        <f>IF(EG30="",0,IF(OR(ISNUMBER(SEARCH(EG30,C30)),ISNUMBER(SEARCH(C30,EG30))),1,0))</f>
        <v>0</v>
      </c>
      <c r="EI30" cm="1">
        <f t="array" ref="EI30">IF(EG30="",0,IF(SUMPRODUCT((ISNUMBER(SEARCH(EG30,$C$2:$C$33))+ISNUMBER(SEARCH($C$2:$C$33,EG30))))&gt;0,1,0))</f>
        <v>0</v>
      </c>
      <c r="EJ30">
        <v>0</v>
      </c>
      <c r="EK30">
        <f>K30+L30+M30+N30+O30+P30+AF30+AI30+AL30+AP30+AT30+AX30+BB30+BF30+BJ30+BN30+BR30+BV30+CD30+CH30+CL30+CP30+CT30+DV30+DZ30+ED30+EH30+DN30+DR30+CX30+DB30+DF30+DJ30</f>
        <v>3</v>
      </c>
    </row>
    <row r="31" spans="1:141">
      <c r="A31" s="30">
        <v>30</v>
      </c>
      <c r="B31" s="30" t="str">
        <f>'Actual nfl first round'!C31</f>
        <v>Jets</v>
      </c>
      <c r="C31" s="31" t="str" cm="1">
        <f t="array" ref="C31">_xlfn.LET(_xlpm.actual, 'Actual nfl first round'!D31,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Omar Cooper Jr.</v>
      </c>
      <c r="D31" s="32" t="str">
        <f>'Colin''s Mock'!D31</f>
        <v>Chris Johnson</v>
      </c>
      <c r="E31" s="32" t="str">
        <f>_xlfn.LET(_xlpm.raw, 'Other analyst '!C31, _xlpm.s, IF(LEFT(_xlpm.raw,1)="[", MID(_xlpm.raw, FIND("] ",_xlpm.raw)+2, 999), _xlpm.raw), IFERROR(TRIM(LEFT(_xlpm.s, FIND(" (",_xlpm.s)-1)), _xlpm.raw))</f>
        <v>Ty Simpson</v>
      </c>
      <c r="F31" s="32" t="str">
        <f>_xlfn.LET(_xlpm.raw, 'Other analyst '!D31, _xlpm.s, IF(LEFT(_xlpm.raw,1)="[", MID(_xlpm.raw, FIND("] ",_xlpm.raw)+2, 999), _xlpm.raw), IFERROR(TRIM(LEFT(_xlpm.s, FIND(" (",_xlpm.s)-1)), _xlpm.raw))</f>
        <v>Ty Simpson</v>
      </c>
      <c r="G31" s="32" t="str">
        <f>_xlfn.LET(_xlpm.raw, 'Other analyst '!E31, _xlpm.s, IF(LEFT(_xlpm.raw,1)="[", MID(_xlpm.raw, FIND("] ",_xlpm.raw)+2, 999), _xlpm.raw), IFERROR(TRIM(LEFT(_xlpm.s, FIND(" (",_xlpm.s)-1)), _xlpm.raw))</f>
        <v>Jermod McCoy</v>
      </c>
      <c r="H31" s="32" t="str">
        <f>_xlfn.LET(_xlpm.raw, 'Other analyst '!F31, _xlpm.s, IF(LEFT(_xlpm.raw,1)="[", MID(_xlpm.raw, FIND("] ",_xlpm.raw)+2, 999), _xlpm.raw), IFERROR(TRIM(LEFT(_xlpm.s, FIND(" (",_xlpm.s)-1)), _xlpm.raw))</f>
        <v>Colton Hood</v>
      </c>
      <c r="I31" s="32" t="str">
        <f>_xlfn.LET(_xlpm.raw, 'Other analyst '!G31, _xlpm.s, IF(LEFT(_xlpm.raw,1)="[", MID(_xlpm.raw, FIND("] ",_xlpm.raw)+2, 999), _xlpm.raw), IFERROR(TRIM(LEFT(_xlpm.s, FIND(" (",_xlpm.s)-1)), _xlpm.raw))</f>
        <v>Keldric Faulk</v>
      </c>
      <c r="K31" s="1">
        <f t="shared" si="0"/>
        <v>0</v>
      </c>
      <c r="L31" s="1">
        <f t="shared" si="1"/>
        <v>0</v>
      </c>
      <c r="M31" s="1">
        <f t="shared" si="2"/>
        <v>0</v>
      </c>
      <c r="N31" s="1">
        <f t="shared" si="3"/>
        <v>0</v>
      </c>
      <c r="O31" s="1">
        <f t="shared" si="4"/>
        <v>0</v>
      </c>
      <c r="P31" s="1">
        <f t="shared" si="5"/>
        <v>0</v>
      </c>
      <c r="Q31" s="1" cm="1">
        <f t="array" ref="Q31">IF(D31="", 0, IF(SUMPRODUCT(--(ISNUMBER(SEARCH(D31, $C$2:$C$33)) + ISNUMBER(SEARCH($C$2:$C$33, D31))))&gt;0, 1, 0))</f>
        <v>1</v>
      </c>
      <c r="R31" s="1" cm="1">
        <f t="array" ref="R31">IF(E31="", 0, IF(SUMPRODUCT(--(ISNUMBER(SEARCH(E31, $C$2:$C$33)) + ISNUMBER(SEARCH($C$2:$C$33, E31))))&gt;0, 1, 0))</f>
        <v>1</v>
      </c>
      <c r="S31" s="1" cm="1">
        <f t="array" ref="S31">IF(F31="", 0, IF(SUMPRODUCT(--(ISNUMBER(SEARCH(F31, $C$2:$C$33)) + ISNUMBER(SEARCH($C$2:$C$33, F31))))&gt;0, 1, 0))</f>
        <v>1</v>
      </c>
      <c r="T31" s="1" cm="1">
        <f t="array" ref="T31">IF(G31="", 0, IF(SUMPRODUCT(--(ISNUMBER(SEARCH(G31, $C$2:$C$33)) + ISNUMBER(SEARCH($C$2:$C$33, G31))))&gt;0, 1, 0))</f>
        <v>0</v>
      </c>
      <c r="U31" s="1" cm="1">
        <f t="array" ref="U31">IF(H31="", 0, IF(SUMPRODUCT(--(ISNUMBER(SEARCH(H31, $C$2:$C$33)) + ISNUMBER(SEARCH($C$2:$C$33, H31))))&gt;0, 1, 0))</f>
        <v>0</v>
      </c>
      <c r="V31" s="1" cm="1">
        <f t="array" ref="V31">IF(I31="", 0, IF(SUMPRODUCT(--(ISNUMBER(SEARCH(I31, $C$2:$C$33)) + ISNUMBER(SEARCH($C$2:$C$33, I31))))&gt;0, 1, 0))</f>
        <v>1</v>
      </c>
      <c r="W31" s="1" cm="1">
        <f t="array" ref="W31">IF(D31="",0,IF(SUMPRODUCT((ISNUMBER(SEARCH(D31,$C$2:$C$33))+ISNUMBER(SEARCH($C$2:$C$33,D31)))*($B$2:$B$33=$B31))&gt;0,1,0))</f>
        <v>0</v>
      </c>
      <c r="X31" s="1" cm="1">
        <f t="array" ref="X31">IF(E31="",0,IF(SUMPRODUCT((ISNUMBER(SEARCH(E31,$C$2:$C$33))+ISNUMBER(SEARCH($C$2:$C$33,E31)))*($B$2:$B$33=$B31))&gt;0,1,0))</f>
        <v>0</v>
      </c>
      <c r="Y31" s="1" cm="1">
        <f t="array" ref="Y31">IF(F31="",0,IF(SUMPRODUCT((ISNUMBER(SEARCH(F31,$C$2:$C$33))+ISNUMBER(SEARCH($C$2:$C$33,F31)))*($B$2:$B$33=$B31))&gt;0,1,0))</f>
        <v>0</v>
      </c>
      <c r="Z31" s="1" cm="1">
        <f t="array" ref="Z31">IF(G31="",0,IF(SUMPRODUCT((ISNUMBER(SEARCH(G31,$C$2:$C$33))+ISNUMBER(SEARCH($C$2:$C$33,G31)))*($B$2:$B$33=$B31))&gt;0,1,0))</f>
        <v>0</v>
      </c>
      <c r="AA31" s="1" cm="1">
        <f t="array" ref="AA31">IF(H31="",0,IF(SUMPRODUCT((ISNUMBER(SEARCH(H31,$C$2:$C$33))+ISNUMBER(SEARCH($C$2:$C$33,H31)))*($B$2:$B$33=$B31))&gt;0,1,0))</f>
        <v>0</v>
      </c>
      <c r="AB31" s="1" cm="1">
        <f t="array" ref="AB31">IF(I31="",0,IF(SUMPRODUCT((ISNUMBER(SEARCH(I31,$C$2:$C$33))+ISNUMBER(SEARCH($C$2:$C$33,I31)))*($B$2:$B$33=$B31))&gt;0,1,0))</f>
        <v>0</v>
      </c>
      <c r="AC31" s="36" t="s">
        <v>82</v>
      </c>
      <c r="AD31" s="28" t="s">
        <v>87</v>
      </c>
      <c r="AE31" s="28" t="s">
        <v>86</v>
      </c>
      <c r="AF31">
        <f t="shared" si="6"/>
        <v>0</v>
      </c>
      <c r="AG31" cm="1">
        <f t="array" ref="AG31">IF(AC31="",0,IF(SUMPRODUCT((ISNUMBER(SEARCH(AC31,$C$2:$C$33))+ISNUMBER(SEARCH($C$2:$C$33,AC31))))&gt;0,1,0))</f>
        <v>1</v>
      </c>
      <c r="AH31" cm="1">
        <f t="array" ref="AH31">IF(AC31="",0,IF(SUMPRODUCT((ISNUMBER(SEARCH(AC31,$C$2:$C$33))+ISNUMBER(SEARCH($C$2:$C$33,AC31)))*($B$2:$B$33=$B31))&gt;0,1,0))</f>
        <v>0</v>
      </c>
      <c r="AI31">
        <f t="shared" si="7"/>
        <v>0</v>
      </c>
      <c r="AJ31" cm="1">
        <f t="array" ref="AJ31">IF(AD31="",0,IF(SUMPRODUCT((ISNUMBER(SEARCH(AD31,$C$2:$C$33))+ISNUMBER(SEARCH($C$2:$C$33,AD31))))&gt;0,1,0))</f>
        <v>0</v>
      </c>
      <c r="AK31" cm="1">
        <f t="array" ref="AK31">IF(AD31="",0,IF(SUMPRODUCT((ISNUMBER(SEARCH(AD31,$C$2:$C$33))+ISNUMBER(SEARCH($C$2:$C$33,AD31)))*($B$2:$B$33=$B31))&gt;0,1,0))</f>
        <v>0</v>
      </c>
      <c r="AL31">
        <f t="shared" si="8"/>
        <v>0</v>
      </c>
      <c r="AM31" cm="1">
        <f t="array" ref="AM31">IF(AE31="",0,IF(SUMPRODUCT((ISNUMBER(SEARCH(AE31,$C$2:$C$33))+ISNUMBER(SEARCH($C$2:$C$33,AE31))))&gt;0,1,0))</f>
        <v>0</v>
      </c>
      <c r="AN31" cm="1">
        <f t="array" ref="AN31">IF(AE31="",0,IF(SUMPRODUCT((ISNUMBER(SEARCH(AE31,$C$2:$C$33))+ISNUMBER(SEARCH($C$2:$C$33,AE31)))*($B$2:$B$33=$B31))&gt;0,1,0))</f>
        <v>0</v>
      </c>
      <c r="AO31" s="64" t="str" cm="1">
        <f t="array" ref="AO31">_xlfn.LET(_xlpm.raw,'Other analyst '!K31,_xlpm.mockNames,'Colin''s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Keldric Faulk</v>
      </c>
      <c r="AP31">
        <f>IF(OR(AO31="",AO31=0),0,IF(OR(ISNUMBER(SEARCH(AO31,$C31)),ISNUMBER(SEARCH($C31,AO31))),1,0))</f>
        <v>0</v>
      </c>
      <c r="AQ31" cm="1">
        <f t="array" ref="AQ31">IF(OR(AO31="",AO31=0),0,IF(SUMPRODUCT(--(ISNUMBER(SEARCH(AO31,$C$2:$C$33))+ISNUMBER(SEARCH($C$2:$C$33,AO31))))&gt;0,1,0))</f>
        <v>1</v>
      </c>
      <c r="AR31" cm="1">
        <f t="array" ref="AR31">IF(OR(AO31="",AO31=0),0,IF(SUMPRODUCT((ISNUMBER(SEARCH(AO31,$C$2:$C$33))+ISNUMBER(SEARCH($C$2:$C$33,AO31)))*($B$2:$B$33=$B31))&gt;0,1,0))</f>
        <v>0</v>
      </c>
      <c r="AS31" s="64" t="str" cm="1">
        <f t="array" ref="AS31">_xlfn.LET(_xlpm.raw,'Other analyst '!L31,_xlpm.mockNames,'Colin''s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Makai Lemon</v>
      </c>
      <c r="AT31">
        <f>IF(OR(AS31="",AS31=0),0,IF(OR(ISNUMBER(SEARCH(AS31,$C31)),ISNUMBER(SEARCH($C31,AS31))),1,0))</f>
        <v>0</v>
      </c>
      <c r="AU31" cm="1">
        <f t="array" ref="AU31">IF(OR(AS31="",AS31=0),0,IF(SUMPRODUCT(--(ISNUMBER(SEARCH(AS31,$C$2:$C$33))+ISNUMBER(SEARCH($C$2:$C$33,AS31))))&gt;0,1,0))</f>
        <v>1</v>
      </c>
      <c r="AV31" cm="1">
        <f t="array" ref="AV31">IF(OR(AS31="",AS31=0),0,IF(SUMPRODUCT((ISNUMBER(SEARCH(AS31,$C$2:$C$33))+ISNUMBER(SEARCH($C$2:$C$33,AS31)))*($B$2:$B$33=$B31))&gt;0,1,0))</f>
        <v>0</v>
      </c>
      <c r="AW31" s="65" t="str" cm="1">
        <f t="array" ref="AW31">_xlfn.LET(_xlpm.raw,'Other analyst '!M31,_xlpm.mockNames,'Colin''s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Treydan Stukes</v>
      </c>
      <c r="AX31">
        <f>IF(OR(AW31="",AW31=0),0,IF(OR(ISNUMBER(SEARCH(AW31,$C31)),ISNUMBER(SEARCH($C31,AW31))),1,0))</f>
        <v>0</v>
      </c>
      <c r="AY31" cm="1">
        <f t="array" ref="AY31">IF(OR(AW31="",AW31=0),0,IF(SUMPRODUCT(--(ISNUMBER(SEARCH(AW31,$C$2:$C$33))+ISNUMBER(SEARCH($C$2:$C$33,AW31))))&gt;0,1,0))</f>
        <v>0</v>
      </c>
      <c r="AZ31" cm="1">
        <f t="array" ref="AZ31">IF(OR(AW31="",AW31=0),0,IF(SUMPRODUCT((ISNUMBER(SEARCH(AW31,$C$2:$C$33))+ISNUMBER(SEARCH($C$2:$C$33,AW31)))*($B$2:$B$33=$B31))&gt;0,1,0))</f>
        <v>0</v>
      </c>
      <c r="BA31" s="64" t="str" cm="1">
        <f t="array" ref="BA31">_xlfn.LET(_xlpm.raw,'Other analyst '!N31,_xlpm.mockNames,'Colin''s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Chris Johnson</v>
      </c>
      <c r="BB31">
        <f>IF(OR(BA31="",BA31=0),0,IF(OR(ISNUMBER(SEARCH(BA31,$C31)),ISNUMBER(SEARCH($C31,BA31))),1,0))</f>
        <v>0</v>
      </c>
      <c r="BC31" cm="1">
        <f t="array" ref="BC31">IF(OR(BA31="",BA31=0),0,IF(SUMPRODUCT(--(ISNUMBER(SEARCH(BA31,$C$2:$C$33))+ISNUMBER(SEARCH($C$2:$C$33,BA31))))&gt;0,1,0))</f>
        <v>1</v>
      </c>
      <c r="BD31" cm="1">
        <f t="array" ref="BD31">IF(OR(BA31="",BA31=0),0,IF(SUMPRODUCT((ISNUMBER(SEARCH(BA31,$C$2:$C$33))+ISNUMBER(SEARCH($C$2:$C$33,BA31)))*($B$2:$B$33=$B31))&gt;0,1,0))</f>
        <v>0</v>
      </c>
      <c r="BE31" s="64" t="str" cm="1">
        <f t="array" ref="BE31">_xlfn.LET(_xlpm.raw,'Other analyst '!O31,_xlpm.mockNames,'Colin''s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KC Concepcion</v>
      </c>
      <c r="BF31">
        <f>IF(OR(BE31="",BE31=0),0,IF(OR(ISNUMBER(SEARCH(BE31,$C31)),ISNUMBER(SEARCH($C31,BE31))),1,0))</f>
        <v>0</v>
      </c>
      <c r="BG31" cm="1">
        <f t="array" ref="BG31">IF(OR(BE31="",BE31=0),0,IF(SUMPRODUCT(--(ISNUMBER(SEARCH(BE31,$C$2:$C$33))+ISNUMBER(SEARCH($C$2:$C$33,BE31))))&gt;0,1,0))</f>
        <v>1</v>
      </c>
      <c r="BH31" cm="1">
        <f t="array" ref="BH31">IF(OR(BE31="",BE31=0),0,IF(SUMPRODUCT((ISNUMBER(SEARCH(BE31,$C$2:$C$33))+ISNUMBER(SEARCH($C$2:$C$33,BE31)))*($B$2:$B$33=$B31))&gt;0,1,0))</f>
        <v>0</v>
      </c>
      <c r="BI31" s="65" t="str" cm="1">
        <f t="array" ref="BI31">_xlfn.LET(_xlpm.raw,'Other analyst '!P31,_xlpm.mockNames,'Colin''s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Denzel Boston</v>
      </c>
      <c r="BJ31">
        <f>IF(OR(BI31="",BI31=0),0,IF(OR(ISNUMBER(SEARCH(BI31,$C31)),ISNUMBER(SEARCH($C31,BI31))),1,0))</f>
        <v>0</v>
      </c>
      <c r="BK31" cm="1">
        <f t="array" ref="BK31">IF(OR(BI31="",BI31=0),0,IF(SUMPRODUCT(--(ISNUMBER(SEARCH(BI31,$C$2:$C$33))+ISNUMBER(SEARCH($C$2:$C$33,BI31))))&gt;0,1,0))</f>
        <v>0</v>
      </c>
      <c r="BL31" cm="1">
        <f t="array" ref="BL31">IF(OR(BI31="",BI31=0),0,IF(SUMPRODUCT((ISNUMBER(SEARCH(BI31,$C$2:$C$33))+ISNUMBER(SEARCH($C$2:$C$33,BI31)))*($B$2:$B$33=$B31))&gt;0,1,0))</f>
        <v>0</v>
      </c>
      <c r="BM31" s="65" t="str" cm="1">
        <f t="array" ref="BM31">_xlfn.LET(_xlpm.raw,'Other analyst '!Q31,_xlpm.mockNames,'Colin''s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Colton Hood</v>
      </c>
      <c r="BN31">
        <f>IF(OR(BM31="",BM31=0),0,IF(OR(ISNUMBER(SEARCH(BM31,$C31)),ISNUMBER(SEARCH($C31,BM31))),1,0))</f>
        <v>0</v>
      </c>
      <c r="BO31" cm="1">
        <f t="array" ref="BO31">IF(OR(BM31="",BM31=0),0,IF(SUMPRODUCT(--(ISNUMBER(SEARCH(BM31,$C$2:$C$33))+ISNUMBER(SEARCH($C$2:$C$33,BM31))))&gt;0,1,0))</f>
        <v>0</v>
      </c>
      <c r="BP31" cm="1">
        <f t="array" ref="BP31">IF(OR(BM31="",BM31=0),0,IF(SUMPRODUCT((ISNUMBER(SEARCH(BM31,$C$2:$C$33))+ISNUMBER(SEARCH($C$2:$C$33,BM31)))*($B$2:$B$33=$B31))&gt;0,1,0))</f>
        <v>0</v>
      </c>
      <c r="BQ31" s="65" t="str" cm="1">
        <f t="array" ref="BQ31">_xlfn.LET(_xlpm.raw,'Other analyst '!R31,_xlpm.mockNames,'Colin''s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Denzel Boston</v>
      </c>
      <c r="BR31">
        <f>IF(OR(BQ31="",BQ31=0),0,IF(OR(ISNUMBER(SEARCH(BQ31,$C31)),ISNUMBER(SEARCH($C31,BQ31))),1,0))</f>
        <v>0</v>
      </c>
      <c r="BS31" cm="1">
        <f t="array" ref="BS31">IF(OR(BQ31="",BQ31=0),0,IF(SUMPRODUCT(--(ISNUMBER(SEARCH(BQ31,$C$2:$C$33))+ISNUMBER(SEARCH($C$2:$C$33,BQ31))))&gt;0,1,0))</f>
        <v>0</v>
      </c>
      <c r="BT31" cm="1">
        <f t="array" ref="BT31">IF(OR(BQ31="",BQ31=0),0,IF(SUMPRODUCT((ISNUMBER(SEARCH(BQ31,$C$2:$C$33))+ISNUMBER(SEARCH($C$2:$C$33,BQ31)))*($B$2:$B$33=$B31))&gt;0,1,0))</f>
        <v>0</v>
      </c>
      <c r="BU31" s="66" t="str">
        <f>'Colin Mock wTrade'!D31</f>
        <v>Chris Johnson</v>
      </c>
      <c r="BV31">
        <f>IF(BU31="",0,IF(OR(ISNUMBER(SEARCH(BU31,C31)),ISNUMBER(SEARCH(C31,BU31))),1,0))</f>
        <v>0</v>
      </c>
      <c r="BW31" cm="1">
        <f t="array" ref="BW31">IF(BU31="",0,IF(SUMPRODUCT(--(ISNUMBER(SEARCH(BU31,$C$2:$C$33))+ISNUMBER(SEARCH($C$2:$C$33,BU31))))&gt;0,1,0))</f>
        <v>1</v>
      </c>
      <c r="BX31" cm="1">
        <f t="array" ref="BX31">IF(BU31="",0,IFERROR(IF(SUMPRODUCT((ISNUMBER(SEARCH(BU31,$C$2:$C$33))+ISNUMBER(SEARCH($C$2:$C$33,BU31)))*($B$2:$B$33=VLOOKUP('Colin Mock wTrade'!C31,$CA$1:$CB$32,2,FALSE)))&gt;0,1,0),0))</f>
        <v>1</v>
      </c>
      <c r="CA31" t="s">
        <v>144</v>
      </c>
      <c r="CB31" t="s">
        <v>704</v>
      </c>
      <c r="CC31" t="str">
        <f>'Other analyst '!S31</f>
        <v>Keldric Faulk</v>
      </c>
      <c r="CD31">
        <f t="shared" si="9"/>
        <v>0</v>
      </c>
      <c r="CE31" cm="1">
        <f t="array" ref="CE31">IF(CC31="",0,IF(SUMPRODUCT(--(ISNUMBER(SEARCH(CC31,$C$2:$C$33))+ISNUMBER(SEARCH($C$2:$C$33,CC31))))&gt;0,1,0))</f>
        <v>1</v>
      </c>
      <c r="CF31" cm="1">
        <f t="array" ref="CF31">IF(CC31="",0,IF(SUMPRODUCT((ISNUMBER(SEARCH(CC31,$C$2:$C$33))+ISNUMBER(SEARCH($C$2:$C$33,CC31)))*($B$2:$B$33=$B31))&gt;0,1,0))</f>
        <v>0</v>
      </c>
      <c r="CG31" t="str">
        <f>'Other analyst '!T31</f>
        <v>Denzel Boston</v>
      </c>
      <c r="CH31">
        <f t="shared" si="10"/>
        <v>0</v>
      </c>
      <c r="CI31" cm="1">
        <f t="array" ref="CI31">IF(CG31="",0,IF(SUMPRODUCT(--(ISNUMBER(SEARCH(CG31,$C$2:$C$33))+ISNUMBER(SEARCH($C$2:$C$33,CG31))))&gt;0,1,0))</f>
        <v>0</v>
      </c>
      <c r="CJ31" cm="1">
        <f t="array" ref="CJ31">IF(CG31="",0,IF(SUMPRODUCT((ISNUMBER(SEARCH(CG31,$C$2:$C$33))+ISNUMBER(SEARCH($C$2:$C$33,CG31)))*($B$2:$B$33=$B31))&gt;0,1,0))</f>
        <v>0</v>
      </c>
      <c r="CK31" t="str">
        <f>'Other analyst '!U31</f>
        <v>Max Iheanachor</v>
      </c>
      <c r="CL31">
        <f t="shared" si="11"/>
        <v>0</v>
      </c>
      <c r="CM31" cm="1">
        <f t="array" ref="CM31">IF(CK31="",0,IF(SUMPRODUCT(--(ISNUMBER(SEARCH(CK31,$C$2:$C$33))+ISNUMBER(SEARCH($C$2:$C$33,CK31))))&gt;0,1,0))</f>
        <v>1</v>
      </c>
      <c r="CN31" cm="1">
        <f t="array" ref="CN31">IF(CK31="",0,IF(SUMPRODUCT((ISNUMBER(SEARCH(CK31,$C$2:$C$33))+ISNUMBER(SEARCH($C$2:$C$33,CK31)))*($B$2:$B$33=$B31))&gt;0,1,0))</f>
        <v>0</v>
      </c>
      <c r="CO31" t="str">
        <f>'Other analyst '!V31</f>
        <v>Jermod McCoy</v>
      </c>
      <c r="CP31">
        <f t="shared" si="12"/>
        <v>0</v>
      </c>
      <c r="CQ31" cm="1">
        <f t="array" ref="CQ31">IF(CO31="",0,IF(SUMPRODUCT(--(ISNUMBER(SEARCH(CO31,$C$2:$C$33))+ISNUMBER(SEARCH($C$2:$C$33,CO31))))&gt;0,1,0))</f>
        <v>0</v>
      </c>
      <c r="CR31" cm="1">
        <f t="array" ref="CR31">IF(CO31="",0,IF(SUMPRODUCT((ISNUMBER(SEARCH(CO31,$C$2:$C$33))+ISNUMBER(SEARCH($C$2:$C$33,CO31)))*($B$2:$B$33=$B31))&gt;0,1,0))</f>
        <v>0</v>
      </c>
      <c r="CS31" s="36" t="str">
        <f>'Other analyst '!W31</f>
        <v>Ty Simpson</v>
      </c>
      <c r="CT31">
        <f t="shared" si="13"/>
        <v>0</v>
      </c>
      <c r="CU31" cm="1">
        <f t="array" ref="CU31">IF(CS31="",0,IF(SUMPRODUCT(--(ISNUMBER(SEARCH(CS31,$C$2:$C$33))+ISNUMBER(SEARCH($C$2:$C$33,CS31))))&gt;0,1,0))</f>
        <v>1</v>
      </c>
      <c r="CV31" cm="1">
        <f t="array" ref="CV31">IF(CS31="",0,IFERROR(IF(SUMPRODUCT((ISNUMBER(SEARCH(CS31,$C$2:$C$33))+ISNUMBER(SEARCH($C$2:$C$33,CS31)))*(ISNUMBER(SEARCH($B$2:$B$33,'Other analyst '!B31))+ISNUMBER(SEARCH('Other analyst '!B31,$B$2:$B$33))))&gt;0,1,0),0))</f>
        <v>0</v>
      </c>
      <c r="CW31" s="28" t="str">
        <f>'Other analyst '!AD31</f>
        <v>Zion Young</v>
      </c>
      <c r="CX31">
        <f t="shared" si="14"/>
        <v>0</v>
      </c>
      <c r="CY31" cm="1">
        <f t="array" ref="CY31">IF(CW31="",0,IF(SUMPRODUCT(--(ISNUMBER(SEARCH(CW31,$C$2:$C$33))+ISNUMBER(SEARCH($C$2:$C$33,CW31))))&gt;0,1,0))</f>
        <v>0</v>
      </c>
      <c r="CZ31" cm="1">
        <f t="array" ref="CZ31">IF(CW31="",0,IF(SUMPRODUCT((ISNUMBER(SEARCH(CW31,$C$2:$C$33))+ISNUMBER(SEARCH($C$2:$C$33,CW31)))*($B$2:$B$33=$B31))&gt;0,1,0))</f>
        <v>0</v>
      </c>
      <c r="DA31" s="28" t="str">
        <f>'Other analyst '!AE31</f>
        <v>Emmanuel McNeil-Warren</v>
      </c>
      <c r="DB31">
        <f t="shared" si="15"/>
        <v>0</v>
      </c>
      <c r="DC31" cm="1">
        <f t="array" ref="DC31">IF(DA31="",0,IF(SUMPRODUCT(--(ISNUMBER(SEARCH(DA31,$C$2:$C$33))+ISNUMBER(SEARCH($C$2:$C$33,DA31))))&gt;0,1,0))</f>
        <v>0</v>
      </c>
      <c r="DD31" cm="1">
        <f t="array" ref="DD31">IF(DA31="",0,IF(SUMPRODUCT((ISNUMBER(SEARCH(DA31,$C$2:$C$33))+ISNUMBER(SEARCH($C$2:$C$33,DA31)))*($B$2:$B$33=$B31))&gt;0,1,0))</f>
        <v>0</v>
      </c>
      <c r="DE31" s="36" t="str">
        <f>'Other analyst '!AF31</f>
        <v>T.J. Parker</v>
      </c>
      <c r="DF31">
        <f t="shared" si="16"/>
        <v>0</v>
      </c>
      <c r="DG31" cm="1">
        <f t="array" ref="DG31">IF(DE31="",0,IF(SUMPRODUCT(--(ISNUMBER(SEARCH(DE31,$C$2:$C$33))+ISNUMBER(SEARCH($C$2:$C$33,DE31))))&gt;0,1,0))</f>
        <v>0</v>
      </c>
      <c r="DH31" cm="1">
        <f t="array" ref="DH31">IF(DE31="",0,IF(SUMPRODUCT((ISNUMBER(SEARCH(DE31,$C$2:$C$33))+ISNUMBER(SEARCH($C$2:$C$33,DE31)))*($B$2:$B$33=$B31))&gt;0,1,0))</f>
        <v>0</v>
      </c>
      <c r="DI31" s="78" t="str">
        <f>'Other analyst '!AG31</f>
        <v>Colton Hood</v>
      </c>
      <c r="DJ31">
        <f t="shared" si="17"/>
        <v>0</v>
      </c>
      <c r="DK31" cm="1">
        <f t="array" ref="DK31">IF(DI31="",0,IF(SUMPRODUCT(--(ISNUMBER(SEARCH(DI31,$C$2:$C$33))+ISNUMBER(SEARCH($C$2:$C$33,DI31))))&gt;0,1,0))</f>
        <v>0</v>
      </c>
      <c r="DL31" cm="1">
        <f t="array" ref="DL31">IF(DI31="",0,IF(SUMPRODUCT((ISNUMBER(SEARCH(DI31,$C$2:$C$33))+ISNUMBER(SEARCH($C$2:$C$33,DI31)))*($B$2:$B$33=$B31))&gt;0,1,0))</f>
        <v>0</v>
      </c>
      <c r="DM31" s="78" t="str">
        <f>'Other analyst '!AB31</f>
        <v>Chris Johnson</v>
      </c>
      <c r="DN31">
        <f t="shared" si="18"/>
        <v>0</v>
      </c>
      <c r="DO31" cm="1">
        <f t="array" ref="DO31">IF(DM31="",0,IF(SUMPRODUCT(--(ISNUMBER(SEARCH(DM31,$C$2:$C$33))+ISNUMBER(SEARCH($C$2:$C$33,DM31))))&gt;0,1,0))</f>
        <v>1</v>
      </c>
      <c r="DP31" cm="1">
        <f t="array" ref="DP31">IF(DM31="",0,IFERROR(IF(SUMPRODUCT((ISNUMBER(SEARCH(DM31,$C$2:$C$33))+ISNUMBER(SEARCH($C$2:$C$33,DM31)))*(ISNUMBER(SEARCH($B$2:$B$33,'Other analyst '!B31))+ISNUMBER(SEARCH('Other analyst '!B31,$B$2:$B$33))))&gt;0,1,0),0))</f>
        <v>1</v>
      </c>
      <c r="DQ31" s="28" t="str">
        <f>'Other analyst '!AC31</f>
        <v>Kayden McDonald</v>
      </c>
      <c r="DR31">
        <f t="shared" si="19"/>
        <v>0</v>
      </c>
      <c r="DS31" cm="1">
        <f t="array" ref="DS31">IF(DQ31="",0,IF(SUMPRODUCT(--(ISNUMBER(SEARCH(DQ31,$C$2:$C$33))+ISNUMBER(SEARCH($C$2:$C$33,DQ31))))&gt;0,1,0))</f>
        <v>0</v>
      </c>
      <c r="DT31" cm="1">
        <f t="array" ref="DT31">IF(DQ31="",0,IFERROR(IF(SUMPRODUCT((ISNUMBER(SEARCH(DQ31,$C$2:$C$33))+ISNUMBER(SEARCH($C$2:$C$33,DQ31)))*(ISNUMBER(SEARCH($B$2:$B$33,'Other analyst '!B31))+ISNUMBER(SEARCH('Other analyst '!B31,$B$2:$B$33))))&gt;0,1,0),0))</f>
        <v>0</v>
      </c>
      <c r="DU31" t="str">
        <f>IFERROR(TRIM(LEFT(IF(ISNUMBER(SEARCH("]",'Other analyst '!X31)),MID('Other analyst '!X31,SEARCH("]",'Other analyst '!X31)+1,200),'Other analyst '!X31),IFERROR(SEARCH(" (",IF(ISNUMBER(SEARCH("]",'Other analyst '!X31)),MID('Other analyst '!X31,SEARCH("]",'Other analyst '!X31)+1,200),'Other analyst '!X31))-1,LEN('Other analyst '!X31)))),"")</f>
        <v>Avieon Terrell</v>
      </c>
      <c r="DV31">
        <f>IF(DU31="",0,IF(OR(ISNUMBER(SEARCH(DU31,C31)),ISNUMBER(SEARCH(C31,DU31))),1,0))</f>
        <v>0</v>
      </c>
      <c r="DW31" cm="1">
        <f t="array" ref="DW31">IF(DU31="",0,IF(SUMPRODUCT((ISNUMBER(SEARCH(DU31,$C$2:$C$33))+ISNUMBER(SEARCH($C$2:$C$33,DU31))))&gt;0,1,0))</f>
        <v>0</v>
      </c>
      <c r="DX31">
        <v>0</v>
      </c>
      <c r="DY31" t="str">
        <f>IFERROR(TRIM(LEFT(IF(ISNUMBER(SEARCH("]",'Other analyst '!Y31)),MID('Other analyst '!Y31,SEARCH("]",'Other analyst '!Y31)+1,200),'Other analyst '!Y31),IFERROR(SEARCH(" (",IF(ISNUMBER(SEARCH("]",'Other analyst '!Y31)),MID('Other analyst '!Y31,SEARCH("]",'Other analyst '!Y31)+1,200),'Other analyst '!Y31))-1,LEN('Other analyst '!Y31)))),"")</f>
        <v>Avieon Terrell</v>
      </c>
      <c r="DZ31">
        <f>IF(DY31="",0,IF(OR(ISNUMBER(SEARCH(DY31,C31)),ISNUMBER(SEARCH(C31,DY31))),1,0))</f>
        <v>0</v>
      </c>
      <c r="EA31" cm="1">
        <f t="array" ref="EA31">IF(DY31="",0,IF(SUMPRODUCT((ISNUMBER(SEARCH(DY31,$C$2:$C$33))+ISNUMBER(SEARCH($C$2:$C$33,DY31))))&gt;0,1,0))</f>
        <v>0</v>
      </c>
      <c r="EB31">
        <v>0</v>
      </c>
      <c r="EC31" t="str">
        <f>IFERROR(TRIM(LEFT(IF(ISNUMBER(SEARCH("]",'Other analyst '!Z31)),MID('Other analyst '!Z31,SEARCH("]",'Other analyst '!Z31)+1,200),'Other analyst '!Z31),IFERROR(SEARCH(" (",IF(ISNUMBER(SEARCH("]",'Other analyst '!Z31)),MID('Other analyst '!Z31,SEARCH("]",'Other analyst '!Z31)+1,200),'Other analyst '!Z31))-1,LEN('Other analyst '!Z31)))),"")</f>
        <v>Dillon Thieneman</v>
      </c>
      <c r="ED31">
        <f>IF(EC31="",0,IF(OR(ISNUMBER(SEARCH(EC31,C31)),ISNUMBER(SEARCH(C31,EC31))),1,0))</f>
        <v>0</v>
      </c>
      <c r="EE31" cm="1">
        <f t="array" ref="EE31">IF(EC31="",0,IF(SUMPRODUCT((ISNUMBER(SEARCH(EC31,$C$2:$C$33))+ISNUMBER(SEARCH($C$2:$C$33,EC31))))&gt;0,1,0))</f>
        <v>1</v>
      </c>
      <c r="EF31">
        <v>0</v>
      </c>
      <c r="EG31" t="str">
        <f>IFERROR(TRIM(LEFT(IF(ISNUMBER(SEARCH("]",'Other analyst '!AA31)),MID('Other analyst '!AA31,SEARCH("]",'Other analyst '!AA31)+1,200),'Other analyst '!AA31),IFERROR(SEARCH(" (",IF(ISNUMBER(SEARCH("]",'Other analyst '!AA31)),MID('Other analyst '!AA31,SEARCH("]",'Other analyst '!AA31)+1,200),'Other analyst '!AA31))-1,LEN('Other analyst '!AA31)))),"")</f>
        <v>Chris Johnson</v>
      </c>
      <c r="EH31">
        <f>IF(EG31="",0,IF(OR(ISNUMBER(SEARCH(EG31,C31)),ISNUMBER(SEARCH(C31,EG31))),1,0))</f>
        <v>0</v>
      </c>
      <c r="EI31" cm="1">
        <f t="array" ref="EI31">IF(EG31="",0,IF(SUMPRODUCT((ISNUMBER(SEARCH(EG31,$C$2:$C$33))+ISNUMBER(SEARCH($C$2:$C$33,EG31))))&gt;0,1,0))</f>
        <v>1</v>
      </c>
      <c r="EJ31">
        <v>0</v>
      </c>
      <c r="EK31">
        <f>K31+L31+M31+N31+O31+P31+AF31+AI31+AL31+AP31+AT31+AX31+BB31+BF31+BJ31+BN31+BR31+BV31+CD31+CH31+CL31+CP31+CT31+DV31+DZ31+ED31+EH31+DN31+DR31+CX31+DB31+DF31+DJ31</f>
        <v>0</v>
      </c>
    </row>
    <row r="32" spans="1:141">
      <c r="A32" s="30">
        <v>31</v>
      </c>
      <c r="B32" s="30" t="str">
        <f>'Actual nfl first round'!C32</f>
        <v>Titans</v>
      </c>
      <c r="C32" s="31" t="str" cm="1">
        <f t="array" ref="C32">_xlfn.LET(_xlpm.actual, 'Actual nfl first round'!D32,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Keldric Faulk</v>
      </c>
      <c r="D32" s="32" t="str">
        <f>'Colin''s Mock'!D32</f>
        <v>C.J. Allen</v>
      </c>
      <c r="E32" s="32" t="str">
        <f>_xlfn.LET(_xlpm.raw, 'Other analyst '!C32, _xlpm.s, IF(LEFT(_xlpm.raw,1)="[", MID(_xlpm.raw, FIND("] ",_xlpm.raw)+2, 999), _xlpm.raw), IFERROR(TRIM(LEFT(_xlpm.s, FIND(" (",_xlpm.s)-1)), _xlpm.raw))</f>
        <v>Caleb Lomu</v>
      </c>
      <c r="F32" s="32" t="str">
        <f>_xlfn.LET(_xlpm.raw, 'Other analyst '!D32, _xlpm.s, IF(LEFT(_xlpm.raw,1)="[", MID(_xlpm.raw, FIND("] ",_xlpm.raw)+2, 999), _xlpm.raw), IFERROR(TRIM(LEFT(_xlpm.s, FIND(" (",_xlpm.s)-1)), _xlpm.raw))</f>
        <v>Akheem Mesidor</v>
      </c>
      <c r="G32" s="32" t="str">
        <f>_xlfn.LET(_xlpm.raw, 'Other analyst '!E32, _xlpm.s, IF(LEFT(_xlpm.raw,1)="[", MID(_xlpm.raw, FIND("] ",_xlpm.raw)+2, 999), _xlpm.raw), IFERROR(TRIM(LEFT(_xlpm.s, FIND(" (",_xlpm.s)-1)), _xlpm.raw))</f>
        <v>Zion Young</v>
      </c>
      <c r="H32" s="32" t="str">
        <f>_xlfn.LET(_xlpm.raw, 'Other analyst '!F32, _xlpm.s, IF(LEFT(_xlpm.raw,1)="[", MID(_xlpm.raw, FIND("] ",_xlpm.raw)+2, 999), _xlpm.raw), IFERROR(TRIM(LEFT(_xlpm.s, FIND(" (",_xlpm.s)-1)), _xlpm.raw))</f>
        <v>Max Iheanachor</v>
      </c>
      <c r="I32" s="32" t="str">
        <f>_xlfn.LET(_xlpm.raw, 'Other analyst '!G32, _xlpm.s, IF(LEFT(_xlpm.raw,1)="[", MID(_xlpm.raw, FIND("] ",_xlpm.raw)+2, 999), _xlpm.raw), IFERROR(TRIM(LEFT(_xlpm.s, FIND(" (",_xlpm.s)-1)), _xlpm.raw))</f>
        <v>Cashius Howell</v>
      </c>
      <c r="K32" s="1">
        <f t="shared" si="0"/>
        <v>0</v>
      </c>
      <c r="L32" s="1">
        <f t="shared" si="1"/>
        <v>0</v>
      </c>
      <c r="M32" s="1">
        <f t="shared" si="2"/>
        <v>0</v>
      </c>
      <c r="N32" s="1">
        <f t="shared" si="3"/>
        <v>0</v>
      </c>
      <c r="O32" s="1">
        <f t="shared" si="4"/>
        <v>0</v>
      </c>
      <c r="P32" s="1">
        <f t="shared" si="5"/>
        <v>0</v>
      </c>
      <c r="Q32" s="1" cm="1">
        <f t="array" ref="Q32">IF(D32="", 0, IF(SUMPRODUCT(--(ISNUMBER(SEARCH(D32, $C$2:$C$33)) + ISNUMBER(SEARCH($C$2:$C$33, D32))))&gt;0, 1, 0))</f>
        <v>0</v>
      </c>
      <c r="R32" s="1" cm="1">
        <f t="array" ref="R32">IF(E32="", 0, IF(SUMPRODUCT(--(ISNUMBER(SEARCH(E32, $C$2:$C$33)) + ISNUMBER(SEARCH($C$2:$C$33, E32))))&gt;0, 1, 0))</f>
        <v>1</v>
      </c>
      <c r="S32" s="1" cm="1">
        <f t="array" ref="S32">IF(F32="", 0, IF(SUMPRODUCT(--(ISNUMBER(SEARCH(F32, $C$2:$C$33)) + ISNUMBER(SEARCH($C$2:$C$33, F32))))&gt;0, 1, 0))</f>
        <v>1</v>
      </c>
      <c r="T32" s="1" cm="1">
        <f t="array" ref="T32">IF(G32="", 0, IF(SUMPRODUCT(--(ISNUMBER(SEARCH(G32, $C$2:$C$33)) + ISNUMBER(SEARCH($C$2:$C$33, G32))))&gt;0, 1, 0))</f>
        <v>0</v>
      </c>
      <c r="U32" s="1" cm="1">
        <f t="array" ref="U32">IF(H32="", 0, IF(SUMPRODUCT(--(ISNUMBER(SEARCH(H32, $C$2:$C$33)) + ISNUMBER(SEARCH($C$2:$C$33, H32))))&gt;0, 1, 0))</f>
        <v>1</v>
      </c>
      <c r="V32" s="1" cm="1">
        <f t="array" ref="V32">IF(I32="", 0, IF(SUMPRODUCT(--(ISNUMBER(SEARCH(I32, $C$2:$C$33)) + ISNUMBER(SEARCH($C$2:$C$33, I32))))&gt;0, 1, 0))</f>
        <v>0</v>
      </c>
      <c r="W32" s="1" cm="1">
        <f t="array" ref="W32">IF(D32="",0,IF(SUMPRODUCT((ISNUMBER(SEARCH(D32,$C$2:$C$33))+ISNUMBER(SEARCH($C$2:$C$33,D32)))*($B$2:$B$33=$B32))&gt;0,1,0))</f>
        <v>0</v>
      </c>
      <c r="X32" s="1" cm="1">
        <f t="array" ref="X32">IF(E32="",0,IF(SUMPRODUCT((ISNUMBER(SEARCH(E32,$C$2:$C$33))+ISNUMBER(SEARCH($C$2:$C$33,E32)))*($B$2:$B$33=$B32))&gt;0,1,0))</f>
        <v>0</v>
      </c>
      <c r="Y32" s="1" cm="1">
        <f t="array" ref="Y32">IF(F32="",0,IF(SUMPRODUCT((ISNUMBER(SEARCH(F32,$C$2:$C$33))+ISNUMBER(SEARCH($C$2:$C$33,F32)))*($B$2:$B$33=$B32))&gt;0,1,0))</f>
        <v>0</v>
      </c>
      <c r="Z32" s="1" cm="1">
        <f t="array" ref="Z32">IF(G32="",0,IF(SUMPRODUCT((ISNUMBER(SEARCH(G32,$C$2:$C$33))+ISNUMBER(SEARCH($C$2:$C$33,G32)))*($B$2:$B$33=$B32))&gt;0,1,0))</f>
        <v>0</v>
      </c>
      <c r="AA32" s="1" cm="1">
        <f t="array" ref="AA32">IF(H32="",0,IF(SUMPRODUCT((ISNUMBER(SEARCH(H32,$C$2:$C$33))+ISNUMBER(SEARCH($C$2:$C$33,H32)))*($B$2:$B$33=$B32))&gt;0,1,0))</f>
        <v>0</v>
      </c>
      <c r="AB32" s="1" cm="1">
        <f t="array" ref="AB32">IF(I32="",0,IF(SUMPRODUCT((ISNUMBER(SEARCH(I32,$C$2:$C$33))+ISNUMBER(SEARCH($C$2:$C$33,I32)))*($B$2:$B$33=$B32))&gt;0,1,0))</f>
        <v>0</v>
      </c>
      <c r="AC32" s="36" t="s">
        <v>89</v>
      </c>
      <c r="AD32" s="36" t="s">
        <v>84</v>
      </c>
      <c r="AE32" s="36" t="s">
        <v>84</v>
      </c>
      <c r="AF32">
        <f t="shared" si="6"/>
        <v>0</v>
      </c>
      <c r="AG32" cm="1">
        <f t="array" ref="AG32">IF(AC32="",0,IF(SUMPRODUCT((ISNUMBER(SEARCH(AC32,$C$2:$C$33))+ISNUMBER(SEARCH($C$2:$C$33,AC32))))&gt;0,1,0))</f>
        <v>1</v>
      </c>
      <c r="AH32" cm="1">
        <f t="array" ref="AH32">IF(AC32="",0,IF(SUMPRODUCT((ISNUMBER(SEARCH(AC32,$C$2:$C$33))+ISNUMBER(SEARCH($C$2:$C$33,AC32)))*($B$2:$B$33=$B32))&gt;0,1,0))</f>
        <v>0</v>
      </c>
      <c r="AI32">
        <f t="shared" si="7"/>
        <v>0</v>
      </c>
      <c r="AJ32" cm="1">
        <f t="array" ref="AJ32">IF(AD32="",0,IF(SUMPRODUCT((ISNUMBER(SEARCH(AD32,$C$2:$C$33))+ISNUMBER(SEARCH($C$2:$C$33,AD32))))&gt;0,1,0))</f>
        <v>1</v>
      </c>
      <c r="AK32" cm="1">
        <f t="array" ref="AK32">IF(AD32="",0,IF(SUMPRODUCT((ISNUMBER(SEARCH(AD32,$C$2:$C$33))+ISNUMBER(SEARCH($C$2:$C$33,AD32)))*($B$2:$B$33=$B32))&gt;0,1,0))</f>
        <v>0</v>
      </c>
      <c r="AL32">
        <f t="shared" si="8"/>
        <v>0</v>
      </c>
      <c r="AM32" cm="1">
        <f t="array" ref="AM32">IF(AE32="",0,IF(SUMPRODUCT((ISNUMBER(SEARCH(AE32,$C$2:$C$33))+ISNUMBER(SEARCH($C$2:$C$33,AE32))))&gt;0,1,0))</f>
        <v>1</v>
      </c>
      <c r="AN32" cm="1">
        <f t="array" ref="AN32">IF(AE32="",0,IF(SUMPRODUCT((ISNUMBER(SEARCH(AE32,$C$2:$C$33))+ISNUMBER(SEARCH($C$2:$C$33,AE32)))*($B$2:$B$33=$B32))&gt;0,1,0))</f>
        <v>0</v>
      </c>
      <c r="AO32" s="64" t="str" cm="1">
        <f t="array" ref="AO32">_xlfn.LET(_xlpm.raw,'Other analyst '!K32,_xlpm.mockNames,'Colin''s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Max Iheanachor</v>
      </c>
      <c r="AP32">
        <f>IF(OR(AO32="",AO32=0),0,IF(OR(ISNUMBER(SEARCH(AO32,$C32)),ISNUMBER(SEARCH($C32,AO32))),1,0))</f>
        <v>0</v>
      </c>
      <c r="AQ32" cm="1">
        <f t="array" ref="AQ32">IF(OR(AO32="",AO32=0),0,IF(SUMPRODUCT(--(ISNUMBER(SEARCH(AO32,$C$2:$C$33))+ISNUMBER(SEARCH($C$2:$C$33,AO32))))&gt;0,1,0))</f>
        <v>1</v>
      </c>
      <c r="AR32" cm="1">
        <f t="array" ref="AR32">IF(OR(AO32="",AO32=0),0,IF(SUMPRODUCT((ISNUMBER(SEARCH(AO32,$C$2:$C$33))+ISNUMBER(SEARCH($C$2:$C$33,AO32)))*($B$2:$B$33=$B32))&gt;0,1,0))</f>
        <v>0</v>
      </c>
      <c r="AS32" s="65" t="str" cm="1">
        <f t="array" ref="AS32">_xlfn.LET(_xlpm.raw,'Other analyst '!L32,_xlpm.mockNames,'Colin''s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T.J. Parker</v>
      </c>
      <c r="AT32">
        <f>IF(OR(AS32="",AS32=0),0,IF(OR(ISNUMBER(SEARCH(AS32,$C32)),ISNUMBER(SEARCH($C32,AS32))),1,0))</f>
        <v>0</v>
      </c>
      <c r="AU32" cm="1">
        <f t="array" ref="AU32">IF(OR(AS32="",AS32=0),0,IF(SUMPRODUCT(--(ISNUMBER(SEARCH(AS32,$C$2:$C$33))+ISNUMBER(SEARCH($C$2:$C$33,AS32))))&gt;0,1,0))</f>
        <v>0</v>
      </c>
      <c r="AV32" cm="1">
        <f t="array" ref="AV32">IF(OR(AS32="",AS32=0),0,IF(SUMPRODUCT((ISNUMBER(SEARCH(AS32,$C$2:$C$33))+ISNUMBER(SEARCH($C$2:$C$33,AS32)))*($B$2:$B$33=$B32))&gt;0,1,0))</f>
        <v>0</v>
      </c>
      <c r="AW32" s="64" t="str" cm="1">
        <f t="array" ref="AW32">_xlfn.LET(_xlpm.raw,'Other analyst '!M32,_xlpm.mockNames,'Colin''s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Max Iheanachor</v>
      </c>
      <c r="AX32">
        <f>IF(OR(AW32="",AW32=0),0,IF(OR(ISNUMBER(SEARCH(AW32,$C32)),ISNUMBER(SEARCH($C32,AW32))),1,0))</f>
        <v>0</v>
      </c>
      <c r="AY32" cm="1">
        <f t="array" ref="AY32">IF(OR(AW32="",AW32=0),0,IF(SUMPRODUCT(--(ISNUMBER(SEARCH(AW32,$C$2:$C$33))+ISNUMBER(SEARCH($C$2:$C$33,AW32))))&gt;0,1,0))</f>
        <v>1</v>
      </c>
      <c r="AZ32" cm="1">
        <f t="array" ref="AZ32">IF(OR(AW32="",AW32=0),0,IF(SUMPRODUCT((ISNUMBER(SEARCH(AW32,$C$2:$C$33))+ISNUMBER(SEARCH($C$2:$C$33,AW32)))*($B$2:$B$33=$B32))&gt;0,1,0))</f>
        <v>0</v>
      </c>
      <c r="BA32" s="64" t="str" cm="1">
        <f t="array" ref="BA32">_xlfn.LET(_xlpm.raw,'Other analyst '!N32,_xlpm.mockNames,'Colin''s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Peter Woods</v>
      </c>
      <c r="BB32">
        <f>IF(OR(BA32="",BA32=0),0,IF(OR(ISNUMBER(SEARCH(BA32,$C32)),ISNUMBER(SEARCH($C32,BA32))),1,0))</f>
        <v>0</v>
      </c>
      <c r="BC32" cm="1">
        <f t="array" ref="BC32">IF(OR(BA32="",BA32=0),0,IF(SUMPRODUCT(--(ISNUMBER(SEARCH(BA32,$C$2:$C$33))+ISNUMBER(SEARCH($C$2:$C$33,BA32))))&gt;0,1,0))</f>
        <v>1</v>
      </c>
      <c r="BD32" cm="1">
        <f t="array" ref="BD32">IF(OR(BA32="",BA32=0),0,IF(SUMPRODUCT((ISNUMBER(SEARCH(BA32,$C$2:$C$33))+ISNUMBER(SEARCH($C$2:$C$33,BA32)))*($B$2:$B$33=$B32))&gt;0,1,0))</f>
        <v>0</v>
      </c>
      <c r="BE32" s="64" t="str" cm="1">
        <f t="array" ref="BE32">_xlfn.LET(_xlpm.raw,'Other analyst '!O32,_xlpm.mockNames,'Colin''s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Max Iheanachor</v>
      </c>
      <c r="BF32">
        <f>IF(OR(BE32="",BE32=0),0,IF(OR(ISNUMBER(SEARCH(BE32,$C32)),ISNUMBER(SEARCH($C32,BE32))),1,0))</f>
        <v>0</v>
      </c>
      <c r="BG32" cm="1">
        <f t="array" ref="BG32">IF(OR(BE32="",BE32=0),0,IF(SUMPRODUCT(--(ISNUMBER(SEARCH(BE32,$C$2:$C$33))+ISNUMBER(SEARCH($C$2:$C$33,BE32))))&gt;0,1,0))</f>
        <v>1</v>
      </c>
      <c r="BH32" cm="1">
        <f t="array" ref="BH32">IF(OR(BE32="",BE32=0),0,IF(SUMPRODUCT((ISNUMBER(SEARCH(BE32,$C$2:$C$33))+ISNUMBER(SEARCH($C$2:$C$33,BE32)))*($B$2:$B$33=$B32))&gt;0,1,0))</f>
        <v>0</v>
      </c>
      <c r="BI32" s="64" t="str" cm="1">
        <f t="array" ref="BI32">_xlfn.LET(_xlpm.raw,'Other analyst '!P32,_xlpm.mockNames,'Colin''s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Malachi Lawrence</v>
      </c>
      <c r="BJ32">
        <f>IF(OR(BI32="",BI32=0),0,IF(OR(ISNUMBER(SEARCH(BI32,$C32)),ISNUMBER(SEARCH($C32,BI32))),1,0))</f>
        <v>0</v>
      </c>
      <c r="BK32" cm="1">
        <f t="array" ref="BK32">IF(OR(BI32="",BI32=0),0,IF(SUMPRODUCT(--(ISNUMBER(SEARCH(BI32,$C$2:$C$33))+ISNUMBER(SEARCH($C$2:$C$33,BI32))))&gt;0,1,0))</f>
        <v>1</v>
      </c>
      <c r="BL32" cm="1">
        <f t="array" ref="BL32">IF(OR(BI32="",BI32=0),0,IF(SUMPRODUCT((ISNUMBER(SEARCH(BI32,$C$2:$C$33))+ISNUMBER(SEARCH($C$2:$C$33,BI32)))*($B$2:$B$33=$B32))&gt;0,1,0))</f>
        <v>0</v>
      </c>
      <c r="BM32" s="64" t="str" cm="1">
        <f t="array" ref="BM32">_xlfn.LET(_xlpm.raw,'Other analyst '!Q32,_xlpm.mockNames,'Colin''s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Max Iheanachor</v>
      </c>
      <c r="BN32">
        <f>IF(OR(BM32="",BM32=0),0,IF(OR(ISNUMBER(SEARCH(BM32,$C32)),ISNUMBER(SEARCH($C32,BM32))),1,0))</f>
        <v>0</v>
      </c>
      <c r="BO32" cm="1">
        <f t="array" ref="BO32">IF(OR(BM32="",BM32=0),0,IF(SUMPRODUCT(--(ISNUMBER(SEARCH(BM32,$C$2:$C$33))+ISNUMBER(SEARCH($C$2:$C$33,BM32))))&gt;0,1,0))</f>
        <v>1</v>
      </c>
      <c r="BP32" cm="1">
        <f t="array" ref="BP32">IF(OR(BM32="",BM32=0),0,IF(SUMPRODUCT((ISNUMBER(SEARCH(BM32,$C$2:$C$33))+ISNUMBER(SEARCH($C$2:$C$33,BM32)))*($B$2:$B$33=$B32))&gt;0,1,0))</f>
        <v>0</v>
      </c>
      <c r="BQ32" s="64" t="str" cm="1">
        <f t="array" ref="BQ32">_xlfn.LET(_xlpm.raw,'Other analyst '!R32,_xlpm.mockNames,'Colin''s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KC Concepcion</v>
      </c>
      <c r="BR32">
        <f>IF(OR(BQ32="",BQ32=0),0,IF(OR(ISNUMBER(SEARCH(BQ32,$C32)),ISNUMBER(SEARCH($C32,BQ32))),1,0))</f>
        <v>0</v>
      </c>
      <c r="BS32" cm="1">
        <f t="array" ref="BS32">IF(OR(BQ32="",BQ32=0),0,IF(SUMPRODUCT(--(ISNUMBER(SEARCH(BQ32,$C$2:$C$33))+ISNUMBER(SEARCH($C$2:$C$33,BQ32))))&gt;0,1,0))</f>
        <v>1</v>
      </c>
      <c r="BT32" cm="1">
        <f t="array" ref="BT32">IF(OR(BQ32="",BQ32=0),0,IF(SUMPRODUCT((ISNUMBER(SEARCH(BQ32,$C$2:$C$33))+ISNUMBER(SEARCH($C$2:$C$33,BQ32)))*($B$2:$B$33=$B32))&gt;0,1,0))</f>
        <v>0</v>
      </c>
      <c r="BU32" t="str">
        <f>'Colin Mock wTrade'!D32</f>
        <v>C.J. Allen</v>
      </c>
      <c r="BV32">
        <f>IF(BU32="",0,IF(OR(ISNUMBER(SEARCH(BU32,C32)),ISNUMBER(SEARCH(C32,BU32))),1,0))</f>
        <v>0</v>
      </c>
      <c r="BW32" cm="1">
        <f t="array" ref="BW32">IF(BU32="",0,IF(SUMPRODUCT(--(ISNUMBER(SEARCH(BU32,$C$2:$C$33))+ISNUMBER(SEARCH($C$2:$C$33,BU32))))&gt;0,1,0))</f>
        <v>0</v>
      </c>
      <c r="BX32" cm="1">
        <f t="array" ref="BX32">IF(BU32="",0,IFERROR(IF(SUMPRODUCT((ISNUMBER(SEARCH(BU32,$C$2:$C$33))+ISNUMBER(SEARCH($C$2:$C$33,BU32)))*($B$2:$B$33=VLOOKUP('Colin Mock wTrade'!C32,$CA$1:$CB$32,2,FALSE)))&gt;0,1,0),0))</f>
        <v>0</v>
      </c>
      <c r="CA32" t="s">
        <v>107</v>
      </c>
      <c r="CB32" t="s">
        <v>705</v>
      </c>
      <c r="CC32" t="str">
        <f>'Other analyst '!S32</f>
        <v>Blake Miller</v>
      </c>
      <c r="CD32">
        <f t="shared" si="9"/>
        <v>0</v>
      </c>
      <c r="CE32" cm="1">
        <f t="array" ref="CE32">IF(CC32="",0,IF(SUMPRODUCT(--(ISNUMBER(SEARCH(CC32,$C$2:$C$33))+ISNUMBER(SEARCH($C$2:$C$33,CC32))))&gt;0,1,0))</f>
        <v>1</v>
      </c>
      <c r="CF32" cm="1">
        <f t="array" ref="CF32">IF(CC32="",0,IF(SUMPRODUCT((ISNUMBER(SEARCH(CC32,$C$2:$C$33))+ISNUMBER(SEARCH($C$2:$C$33,CC32)))*($B$2:$B$33=$B32))&gt;0,1,0))</f>
        <v>0</v>
      </c>
      <c r="CG32" t="str">
        <f>'Other analyst '!T32</f>
        <v>Akheem Mesidor</v>
      </c>
      <c r="CH32">
        <f t="shared" si="10"/>
        <v>0</v>
      </c>
      <c r="CI32" cm="1">
        <f t="array" ref="CI32">IF(CG32="",0,IF(SUMPRODUCT(--(ISNUMBER(SEARCH(CG32,$C$2:$C$33))+ISNUMBER(SEARCH($C$2:$C$33,CG32))))&gt;0,1,0))</f>
        <v>1</v>
      </c>
      <c r="CJ32" cm="1">
        <f t="array" ref="CJ32">IF(CG32="",0,IF(SUMPRODUCT((ISNUMBER(SEARCH(CG32,$C$2:$C$33))+ISNUMBER(SEARCH($C$2:$C$33,CG32)))*($B$2:$B$33=$B32))&gt;0,1,0))</f>
        <v>0</v>
      </c>
      <c r="CK32" t="str">
        <f>'Other analyst '!U32</f>
        <v>TJ Parker</v>
      </c>
      <c r="CL32">
        <f t="shared" si="11"/>
        <v>0</v>
      </c>
      <c r="CM32" cm="1">
        <f t="array" ref="CM32">IF(CK32="",0,IF(SUMPRODUCT(--(ISNUMBER(SEARCH(CK32,$C$2:$C$33))+ISNUMBER(SEARCH($C$2:$C$33,CK32))))&gt;0,1,0))</f>
        <v>0</v>
      </c>
      <c r="CN32" cm="1">
        <f t="array" ref="CN32">IF(CK32="",0,IF(SUMPRODUCT((ISNUMBER(SEARCH(CK32,$C$2:$C$33))+ISNUMBER(SEARCH($C$2:$C$33,CK32)))*($B$2:$B$33=$B32))&gt;0,1,0))</f>
        <v>0</v>
      </c>
      <c r="CO32" t="str">
        <f>'Other analyst '!V32</f>
        <v>Kenyon Sadiq</v>
      </c>
      <c r="CP32">
        <f t="shared" si="12"/>
        <v>0</v>
      </c>
      <c r="CQ32" cm="1">
        <f t="array" ref="CQ32">IF(CO32="",0,IF(SUMPRODUCT(--(ISNUMBER(SEARCH(CO32,$C$2:$C$33))+ISNUMBER(SEARCH($C$2:$C$33,CO32))))&gt;0,1,0))</f>
        <v>1</v>
      </c>
      <c r="CR32" cm="1">
        <f t="array" ref="CR32">IF(CO32="",0,IF(SUMPRODUCT((ISNUMBER(SEARCH(CO32,$C$2:$C$33))+ISNUMBER(SEARCH($C$2:$C$33,CO32)))*($B$2:$B$33=$B32))&gt;0,1,0))</f>
        <v>0</v>
      </c>
      <c r="CS32" s="28" t="str">
        <f>'Other analyst '!W32</f>
        <v>Zion Young</v>
      </c>
      <c r="CT32">
        <f t="shared" si="13"/>
        <v>0</v>
      </c>
      <c r="CU32" cm="1">
        <f t="array" ref="CU32">IF(CS32="",0,IF(SUMPRODUCT(--(ISNUMBER(SEARCH(CS32,$C$2:$C$33))+ISNUMBER(SEARCH($C$2:$C$33,CS32))))&gt;0,1,0))</f>
        <v>0</v>
      </c>
      <c r="CV32" cm="1">
        <f t="array" ref="CV32">IF(CS32="",0,IFERROR(IF(SUMPRODUCT((ISNUMBER(SEARCH(CS32,$C$2:$C$33))+ISNUMBER(SEARCH($C$2:$C$33,CS32)))*(ISNUMBER(SEARCH($B$2:$B$33,'Other analyst '!B32))+ISNUMBER(SEARCH('Other analyst '!B32,$B$2:$B$33))))&gt;0,1,0),0))</f>
        <v>0</v>
      </c>
      <c r="CW32" s="36" t="str">
        <f>'Other analyst '!AD32</f>
        <v>Cashius Howell</v>
      </c>
      <c r="CX32">
        <f t="shared" si="14"/>
        <v>0</v>
      </c>
      <c r="CY32" cm="1">
        <f t="array" ref="CY32">IF(CW32="",0,IF(SUMPRODUCT(--(ISNUMBER(SEARCH(CW32,$C$2:$C$33))+ISNUMBER(SEARCH($C$2:$C$33,CW32))))&gt;0,1,0))</f>
        <v>0</v>
      </c>
      <c r="CZ32" cm="1">
        <f t="array" ref="CZ32">IF(CW32="",0,IF(SUMPRODUCT((ISNUMBER(SEARCH(CW32,$C$2:$C$33))+ISNUMBER(SEARCH($C$2:$C$33,CW32)))*($B$2:$B$33=$B32))&gt;0,1,0))</f>
        <v>0</v>
      </c>
      <c r="DA32" s="36" t="str">
        <f>'Other analyst '!AE32</f>
        <v>Max Iheanachor</v>
      </c>
      <c r="DB32">
        <f t="shared" si="15"/>
        <v>0</v>
      </c>
      <c r="DC32" cm="1">
        <f t="array" ref="DC32">IF(DA32="",0,IF(SUMPRODUCT(--(ISNUMBER(SEARCH(DA32,$C$2:$C$33))+ISNUMBER(SEARCH($C$2:$C$33,DA32))))&gt;0,1,0))</f>
        <v>1</v>
      </c>
      <c r="DD32" cm="1">
        <f t="array" ref="DD32">IF(DA32="",0,IF(SUMPRODUCT((ISNUMBER(SEARCH(DA32,$C$2:$C$33))+ISNUMBER(SEARCH($C$2:$C$33,DA32)))*($B$2:$B$33=$B32))&gt;0,1,0))</f>
        <v>0</v>
      </c>
      <c r="DE32" s="28" t="str">
        <f>'Other analyst '!AF32</f>
        <v>Malachi Lawrence</v>
      </c>
      <c r="DF32">
        <f t="shared" si="16"/>
        <v>0</v>
      </c>
      <c r="DG32" cm="1">
        <f t="array" ref="DG32">IF(DE32="",0,IF(SUMPRODUCT(--(ISNUMBER(SEARCH(DE32,$C$2:$C$33))+ISNUMBER(SEARCH($C$2:$C$33,DE32))))&gt;0,1,0))</f>
        <v>1</v>
      </c>
      <c r="DH32" cm="1">
        <f t="array" ref="DH32">IF(DE32="",0,IF(SUMPRODUCT((ISNUMBER(SEARCH(DE32,$C$2:$C$33))+ISNUMBER(SEARCH($C$2:$C$33,DE32)))*($B$2:$B$33=$B32))&gt;0,1,0))</f>
        <v>0</v>
      </c>
      <c r="DI32" s="36" t="str">
        <f>'Other analyst '!AG32</f>
        <v>Max Iheanachor</v>
      </c>
      <c r="DJ32">
        <f t="shared" si="17"/>
        <v>0</v>
      </c>
      <c r="DK32" cm="1">
        <f t="array" ref="DK32">IF(DI32="",0,IF(SUMPRODUCT(--(ISNUMBER(SEARCH(DI32,$C$2:$C$33))+ISNUMBER(SEARCH($C$2:$C$33,DI32))))&gt;0,1,0))</f>
        <v>1</v>
      </c>
      <c r="DL32" cm="1">
        <f t="array" ref="DL32">IF(DI32="",0,IF(SUMPRODUCT((ISNUMBER(SEARCH(DI32,$C$2:$C$33))+ISNUMBER(SEARCH($C$2:$C$33,DI32)))*($B$2:$B$33=$B32))&gt;0,1,0))</f>
        <v>0</v>
      </c>
      <c r="DM32" s="36" t="str">
        <f>'Other analyst '!AB32</f>
        <v>Ty Simpson</v>
      </c>
      <c r="DN32">
        <f t="shared" si="18"/>
        <v>0</v>
      </c>
      <c r="DO32" cm="1">
        <f t="array" ref="DO32">IF(DM32="",0,IF(SUMPRODUCT(--(ISNUMBER(SEARCH(DM32,$C$2:$C$33))+ISNUMBER(SEARCH($C$2:$C$33,DM32))))&gt;0,1,0))</f>
        <v>1</v>
      </c>
      <c r="DP32" cm="1">
        <f t="array" ref="DP32">IF(DM32="",0,IFERROR(IF(SUMPRODUCT((ISNUMBER(SEARCH(DM32,$C$2:$C$33))+ISNUMBER(SEARCH($C$2:$C$33,DM32)))*(ISNUMBER(SEARCH($B$2:$B$33,'Other analyst '!B32))+ISNUMBER(SEARCH('Other analyst '!B32,$B$2:$B$33))))&gt;0,1,0),0))</f>
        <v>0</v>
      </c>
      <c r="DQ32" s="36" t="str">
        <f>'Other analyst '!AC32</f>
        <v>Kadyn Proctor</v>
      </c>
      <c r="DR32">
        <f t="shared" si="19"/>
        <v>0</v>
      </c>
      <c r="DS32" cm="1">
        <f t="array" ref="DS32">IF(DQ32="",0,IF(SUMPRODUCT(--(ISNUMBER(SEARCH(DQ32,$C$2:$C$33))+ISNUMBER(SEARCH($C$2:$C$33,DQ32))))&gt;0,1,0))</f>
        <v>1</v>
      </c>
      <c r="DT32" cm="1">
        <f t="array" ref="DT32">IF(DQ32="",0,IFERROR(IF(SUMPRODUCT((ISNUMBER(SEARCH(DQ32,$C$2:$C$33))+ISNUMBER(SEARCH($C$2:$C$33,DQ32)))*(ISNUMBER(SEARCH($B$2:$B$33,'Other analyst '!B32))+ISNUMBER(SEARCH('Other analyst '!B32,$B$2:$B$33))))&gt;0,1,0),0))</f>
        <v>0</v>
      </c>
      <c r="DU32" t="str">
        <f>IFERROR(TRIM(LEFT(IF(ISNUMBER(SEARCH("]",'Other analyst '!X32)),MID('Other analyst '!X32,SEARCH("]",'Other analyst '!X32)+1,200),'Other analyst '!X32),IFERROR(SEARCH(" (",IF(ISNUMBER(SEARCH("]",'Other analyst '!X32)),MID('Other analyst '!X32,SEARCH("]",'Other analyst '!X32)+1,200),'Other analyst '!X32))-1,LEN('Other analyst '!X32)))),"")</f>
        <v>Max Iheanachor</v>
      </c>
      <c r="DV32">
        <f>IF(DU32="",0,IF(OR(ISNUMBER(SEARCH(DU32,C32)),ISNUMBER(SEARCH(C32,DU32))),1,0))</f>
        <v>0</v>
      </c>
      <c r="DW32" cm="1">
        <f t="array" ref="DW32">IF(DU32="",0,IF(SUMPRODUCT((ISNUMBER(SEARCH(DU32,$C$2:$C$33))+ISNUMBER(SEARCH($C$2:$C$33,DU32))))&gt;0,1,0))</f>
        <v>1</v>
      </c>
      <c r="DX32">
        <v>0</v>
      </c>
      <c r="DY32" t="str">
        <f>IFERROR(TRIM(LEFT(IF(ISNUMBER(SEARCH("]",'Other analyst '!Y32)),MID('Other analyst '!Y32,SEARCH("]",'Other analyst '!Y32)+1,200),'Other analyst '!Y32),IFERROR(SEARCH(" (",IF(ISNUMBER(SEARCH("]",'Other analyst '!Y32)),MID('Other analyst '!Y32,SEARCH("]",'Other analyst '!Y32)+1,200),'Other analyst '!Y32))-1,LEN('Other analyst '!Y32)))),"")</f>
        <v>KC Concepcion</v>
      </c>
      <c r="DZ32">
        <f>IF(DY32="",0,IF(OR(ISNUMBER(SEARCH(DY32,C32)),ISNUMBER(SEARCH(C32,DY32))),1,0))</f>
        <v>0</v>
      </c>
      <c r="EA32" cm="1">
        <f t="array" ref="EA32">IF(DY32="",0,IF(SUMPRODUCT((ISNUMBER(SEARCH(DY32,$C$2:$C$33))+ISNUMBER(SEARCH($C$2:$C$33,DY32))))&gt;0,1,0))</f>
        <v>1</v>
      </c>
      <c r="EB32">
        <v>0</v>
      </c>
      <c r="EC32" t="str">
        <f>IFERROR(TRIM(LEFT(IF(ISNUMBER(SEARCH("]",'Other analyst '!Z32)),MID('Other analyst '!Z32,SEARCH("]",'Other analyst '!Z32)+1,200),'Other analyst '!Z32),IFERROR(SEARCH(" (",IF(ISNUMBER(SEARCH("]",'Other analyst '!Z32)),MID('Other analyst '!Z32,SEARCH("]",'Other analyst '!Z32)+1,200),'Other analyst '!Z32))-1,LEN('Other analyst '!Z32)))),"")</f>
        <v>Eli Stowers</v>
      </c>
      <c r="ED32">
        <f>IF(EC32="",0,IF(OR(ISNUMBER(SEARCH(EC32,C32)),ISNUMBER(SEARCH(C32,EC32))),1,0))</f>
        <v>0</v>
      </c>
      <c r="EE32" cm="1">
        <f t="array" ref="EE32">IF(EC32="",0,IF(SUMPRODUCT((ISNUMBER(SEARCH(EC32,$C$2:$C$33))+ISNUMBER(SEARCH($C$2:$C$33,EC32))))&gt;0,1,0))</f>
        <v>0</v>
      </c>
      <c r="EF32">
        <v>0</v>
      </c>
      <c r="EG32" t="str">
        <f>IFERROR(TRIM(LEFT(IF(ISNUMBER(SEARCH("]",'Other analyst '!AA32)),MID('Other analyst '!AA32,SEARCH("]",'Other analyst '!AA32)+1,200),'Other analyst '!AA32),IFERROR(SEARCH(" (",IF(ISNUMBER(SEARCH("]",'Other analyst '!AA32)),MID('Other analyst '!AA32,SEARCH("]",'Other analyst '!AA32)+1,200),'Other analyst '!AA32))-1,LEN('Other analyst '!AA32)))),"")</f>
        <v>Max Iheanachor</v>
      </c>
      <c r="EH32">
        <f>IF(EG32="",0,IF(OR(ISNUMBER(SEARCH(EG32,C32)),ISNUMBER(SEARCH(C32,EG32))),1,0))</f>
        <v>0</v>
      </c>
      <c r="EI32" cm="1">
        <f t="array" ref="EI32">IF(EG32="",0,IF(SUMPRODUCT((ISNUMBER(SEARCH(EG32,$C$2:$C$33))+ISNUMBER(SEARCH($C$2:$C$33,EG32))))&gt;0,1,0))</f>
        <v>1</v>
      </c>
      <c r="EJ32">
        <v>0</v>
      </c>
      <c r="EK32">
        <f>K32+L32+M32+N32+O32+P32+AF32+AI32+AL32+AP32+AT32+AX32+BB32+BF32+BJ32+BN32+BR32+BV32+CD32+CH32+CL32+CP32+CT32+DV32+DZ32+ED32+EH32+DN32+DR32+CX32+DB32+DF32+DJ32</f>
        <v>0</v>
      </c>
    </row>
    <row r="33" spans="1:141">
      <c r="A33" s="30">
        <v>32</v>
      </c>
      <c r="B33" s="30" t="str">
        <f>'Actual nfl first round'!C33</f>
        <v>Seahawks</v>
      </c>
      <c r="C33" s="31" t="str" cm="1">
        <f t="array" ref="C33">_xlfn.LET(_xlpm.actual, 'Actual nfl first round'!D33, _xlpm.analystNames, _xlfn.TOCOL($E$2:$I$33), _xlpm.mockNames, 'Colin''s Mock'!$D$2:$D$258, _xlpm.allNames, _xlfn.VSTACK(_xlpm.analystNames, _xlpm.mockNames), _xlpm.matches, _xlfn._xlws.FILTER(_xlpm.allNames, ISNUMBER(SEARCH(_xlpm.allNames, _xlpm.actual))*(LEN(_xlpm.allNames)&gt;3), ""), IF(ISERROR(INDEX(_xlpm.matches,1)), _xlpm.actual, INDEX(_xlpm.matches,1)))</f>
        <v>Jadarian Price</v>
      </c>
      <c r="D33" s="32" t="str">
        <f>'Colin''s Mock'!D33</f>
        <v>Jadarian Price</v>
      </c>
      <c r="E33" s="32" t="str">
        <f>_xlfn.LET(_xlpm.raw, 'Other analyst '!C33, _xlpm.s, IF(LEFT(_xlpm.raw,1)="[", MID(_xlpm.raw, FIND("] ",_xlpm.raw)+2, 999), _xlpm.raw), IFERROR(TRIM(LEFT(_xlpm.s, FIND(" (",_xlpm.s)-1)), _xlpm.raw))</f>
        <v>T.J. Parker</v>
      </c>
      <c r="F33" s="32" t="str">
        <f>_xlfn.LET(_xlpm.raw, 'Other analyst '!D33, _xlpm.s, IF(LEFT(_xlpm.raw,1)="[", MID(_xlpm.raw, FIND("] ",_xlpm.raw)+2, 999), _xlpm.raw), IFERROR(TRIM(LEFT(_xlpm.s, FIND(" (",_xlpm.s)-1)), _xlpm.raw))</f>
        <v>Jadarian Price</v>
      </c>
      <c r="G33" s="32" t="str">
        <f>_xlfn.LET(_xlpm.raw, 'Other analyst '!E33, _xlpm.s, IF(LEFT(_xlpm.raw,1)="[", MID(_xlpm.raw, FIND("] ",_xlpm.raw)+2, 999), _xlpm.raw), IFERROR(TRIM(LEFT(_xlpm.s, FIND(" (",_xlpm.s)-1)), _xlpm.raw))</f>
        <v>Ty Simpson</v>
      </c>
      <c r="H33" s="32" t="str">
        <f>_xlfn.LET(_xlpm.raw, 'Other analyst '!F33, _xlpm.s, IF(LEFT(_xlpm.raw,1)="[", MID(_xlpm.raw, FIND("] ",_xlpm.raw)+2, 999), _xlpm.raw), IFERROR(TRIM(LEFT(_xlpm.s, FIND(" (",_xlpm.s)-1)), _xlpm.raw))</f>
        <v>Malachi Lawrence</v>
      </c>
      <c r="I33" s="32" t="str">
        <f>_xlfn.LET(_xlpm.raw, 'Other analyst '!G33, _xlpm.s, IF(LEFT(_xlpm.raw,1)="[", MID(_xlpm.raw, FIND("] ",_xlpm.raw)+2, 999), _xlpm.raw), IFERROR(TRIM(LEFT(_xlpm.s, FIND(" (",_xlpm.s)-1)), _xlpm.raw))</f>
        <v>Chase Bisontis</v>
      </c>
      <c r="K33" s="1">
        <f t="shared" si="0"/>
        <v>1</v>
      </c>
      <c r="L33" s="1">
        <f t="shared" si="1"/>
        <v>0</v>
      </c>
      <c r="M33" s="1">
        <f t="shared" si="2"/>
        <v>1</v>
      </c>
      <c r="N33" s="1">
        <f t="shared" si="3"/>
        <v>0</v>
      </c>
      <c r="O33" s="1">
        <f t="shared" si="4"/>
        <v>0</v>
      </c>
      <c r="P33" s="1">
        <f t="shared" si="5"/>
        <v>0</v>
      </c>
      <c r="Q33" s="1" cm="1">
        <f t="array" ref="Q33">IF(D33="", 0, IF(SUMPRODUCT(--(ISNUMBER(SEARCH(D33, $C$2:$C$33)) + ISNUMBER(SEARCH($C$2:$C$33, D33))))&gt;0, 1, 0))</f>
        <v>1</v>
      </c>
      <c r="R33" s="1" cm="1">
        <f t="array" ref="R33">IF(E33="", 0, IF(SUMPRODUCT(--(ISNUMBER(SEARCH(E33, $C$2:$C$33)) + ISNUMBER(SEARCH($C$2:$C$33, E33))))&gt;0, 1, 0))</f>
        <v>0</v>
      </c>
      <c r="S33" s="1" cm="1">
        <f t="array" ref="S33">IF(F33="", 0, IF(SUMPRODUCT(--(ISNUMBER(SEARCH(F33, $C$2:$C$33)) + ISNUMBER(SEARCH($C$2:$C$33, F33))))&gt;0, 1, 0))</f>
        <v>1</v>
      </c>
      <c r="T33" s="1" cm="1">
        <f t="array" ref="T33">IF(G33="", 0, IF(SUMPRODUCT(--(ISNUMBER(SEARCH(G33, $C$2:$C$33)) + ISNUMBER(SEARCH($C$2:$C$33, G33))))&gt;0, 1, 0))</f>
        <v>1</v>
      </c>
      <c r="U33" s="1" cm="1">
        <f t="array" ref="U33">IF(H33="", 0, IF(SUMPRODUCT(--(ISNUMBER(SEARCH(H33, $C$2:$C$33)) + ISNUMBER(SEARCH($C$2:$C$33, H33))))&gt;0, 1, 0))</f>
        <v>1</v>
      </c>
      <c r="V33" s="1" cm="1">
        <f t="array" ref="V33">IF(I33="", 0, IF(SUMPRODUCT(--(ISNUMBER(SEARCH(I33, $C$2:$C$33)) + ISNUMBER(SEARCH($C$2:$C$33, I33))))&gt;0, 1, 0))</f>
        <v>0</v>
      </c>
      <c r="W33" s="1" cm="1">
        <f t="array" ref="W33">IF(D33="",0,IF(SUMPRODUCT((ISNUMBER(SEARCH(D33,$C$2:$C$33))+ISNUMBER(SEARCH($C$2:$C$33,D33)))*($B$2:$B$33=$B33))&gt;0,1,0))</f>
        <v>1</v>
      </c>
      <c r="X33" s="1" cm="1">
        <f t="array" ref="X33">IF(E33="",0,IF(SUMPRODUCT((ISNUMBER(SEARCH(E33,$C$2:$C$33))+ISNUMBER(SEARCH($C$2:$C$33,E33)))*($B$2:$B$33=$B33))&gt;0,1,0))</f>
        <v>0</v>
      </c>
      <c r="Y33" s="1" cm="1">
        <f t="array" ref="Y33">IF(F33="",0,IF(SUMPRODUCT((ISNUMBER(SEARCH(F33,$C$2:$C$33))+ISNUMBER(SEARCH($C$2:$C$33,F33)))*($B$2:$B$33=$B33))&gt;0,1,0))</f>
        <v>1</v>
      </c>
      <c r="Z33" s="1" cm="1">
        <f t="array" ref="Z33">IF(G33="",0,IF(SUMPRODUCT((ISNUMBER(SEARCH(G33,$C$2:$C$33))+ISNUMBER(SEARCH($C$2:$C$33,G33)))*($B$2:$B$33=$B33))&gt;0,1,0))</f>
        <v>0</v>
      </c>
      <c r="AA33" s="1" cm="1">
        <f t="array" ref="AA33">IF(H33="",0,IF(SUMPRODUCT((ISNUMBER(SEARCH(H33,$C$2:$C$33))+ISNUMBER(SEARCH($C$2:$C$33,H33)))*($B$2:$B$33=$B33))&gt;0,1,0))</f>
        <v>0</v>
      </c>
      <c r="AB33" s="1" cm="1">
        <f t="array" ref="AB33">IF(I33="",0,IF(SUMPRODUCT((ISNUMBER(SEARCH(I33,$C$2:$C$33))+ISNUMBER(SEARCH($C$2:$C$33,I33)))*($B$2:$B$33=$B33))&gt;0,1,0))</f>
        <v>0</v>
      </c>
      <c r="AC33" s="36" t="s">
        <v>102</v>
      </c>
      <c r="AD33" s="35" t="s">
        <v>94</v>
      </c>
      <c r="AE33" s="28" t="s">
        <v>599</v>
      </c>
      <c r="AF33">
        <f t="shared" si="6"/>
        <v>0</v>
      </c>
      <c r="AG33" cm="1">
        <f t="array" ref="AG33">IF(AC33="",0,IF(SUMPRODUCT((ISNUMBER(SEARCH(AC33,$C$2:$C$33))+ISNUMBER(SEARCH($C$2:$C$33,AC33))))&gt;0,1,0))</f>
        <v>1</v>
      </c>
      <c r="AH33" cm="1">
        <f t="array" ref="AH33">IF(AC33="",0,IF(SUMPRODUCT((ISNUMBER(SEARCH(AC33,$C$2:$C$33))+ISNUMBER(SEARCH($C$2:$C$33,AC33)))*($B$2:$B$33=$B33))&gt;0,1,0))</f>
        <v>0</v>
      </c>
      <c r="AI33">
        <f t="shared" si="7"/>
        <v>1</v>
      </c>
      <c r="AJ33" cm="1">
        <f t="array" ref="AJ33">IF(AD33="",0,IF(SUMPRODUCT((ISNUMBER(SEARCH(AD33,$C$2:$C$33))+ISNUMBER(SEARCH($C$2:$C$33,AD33))))&gt;0,1,0))</f>
        <v>1</v>
      </c>
      <c r="AK33" cm="1">
        <f t="array" ref="AK33">IF(AD33="",0,IF(SUMPRODUCT((ISNUMBER(SEARCH(AD33,$C$2:$C$33))+ISNUMBER(SEARCH($C$2:$C$33,AD33)))*($B$2:$B$33=$B33))&gt;0,1,0))</f>
        <v>1</v>
      </c>
      <c r="AL33">
        <f t="shared" si="8"/>
        <v>0</v>
      </c>
      <c r="AM33" cm="1">
        <f t="array" ref="AM33">IF(AE33="",0,IF(SUMPRODUCT((ISNUMBER(SEARCH(AE33,$C$2:$C$33))+ISNUMBER(SEARCH($C$2:$C$33,AE33))))&gt;0,1,0))</f>
        <v>0</v>
      </c>
      <c r="AN33" cm="1">
        <f t="array" ref="AN33">IF(AE33="",0,IF(SUMPRODUCT((ISNUMBER(SEARCH(AE33,$C$2:$C$33))+ISNUMBER(SEARCH($C$2:$C$33,AE33)))*($B$2:$B$33=$B33))&gt;0,1,0))</f>
        <v>0</v>
      </c>
      <c r="AO33" s="64" t="str" cm="1">
        <f t="array" ref="AO33">_xlfn.LET(_xlpm.raw,'Other analyst '!K33,_xlpm.mockNames,'Colin''s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Chris Johnson</v>
      </c>
      <c r="AP33">
        <f>IF(OR(AO33="",AO33=0),0,IF(OR(ISNUMBER(SEARCH(AO33,$C33)),ISNUMBER(SEARCH($C33,AO33))),1,0))</f>
        <v>0</v>
      </c>
      <c r="AQ33" cm="1">
        <f t="array" ref="AQ33">IF(OR(AO33="",AO33=0),0,IF(SUMPRODUCT(--(ISNUMBER(SEARCH(AO33,$C$2:$C$33))+ISNUMBER(SEARCH($C$2:$C$33,AO33))))&gt;0,1,0))</f>
        <v>1</v>
      </c>
      <c r="AR33" cm="1">
        <f t="array" ref="AR33">IF(OR(AO33="",AO33=0),0,IF(SUMPRODUCT((ISNUMBER(SEARCH(AO33,$C$2:$C$33))+ISNUMBER(SEARCH($C$2:$C$33,AO33)))*($B$2:$B$33=$B33))&gt;0,1,0))</f>
        <v>0</v>
      </c>
      <c r="AS33" s="65" t="str" cm="1">
        <f t="array" ref="AS33">_xlfn.LET(_xlpm.raw,'Other analyst '!L33,_xlpm.mockNames,'Colin''s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Avieon Terrell</v>
      </c>
      <c r="AT33">
        <f>IF(OR(AS33="",AS33=0),0,IF(OR(ISNUMBER(SEARCH(AS33,$C33)),ISNUMBER(SEARCH($C33,AS33))),1,0))</f>
        <v>0</v>
      </c>
      <c r="AU33" cm="1">
        <f t="array" ref="AU33">IF(OR(AS33="",AS33=0),0,IF(SUMPRODUCT(--(ISNUMBER(SEARCH(AS33,$C$2:$C$33))+ISNUMBER(SEARCH($C$2:$C$33,AS33))))&gt;0,1,0))</f>
        <v>0</v>
      </c>
      <c r="AV33" cm="1">
        <f t="array" ref="AV33">IF(OR(AS33="",AS33=0),0,IF(SUMPRODUCT((ISNUMBER(SEARCH(AS33,$C$2:$C$33))+ISNUMBER(SEARCH($C$2:$C$33,AS33)))*($B$2:$B$33=$B33))&gt;0,1,0))</f>
        <v>0</v>
      </c>
      <c r="AW33" s="17" t="str" cm="1">
        <f t="array" ref="AW33">_xlfn.LET(_xlpm.raw,'Other analyst '!M33,_xlpm.mockNames,'Colin''s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Jadarian Price</v>
      </c>
      <c r="AX33">
        <f>IF(OR(AW33="",AW33=0),0,IF(OR(ISNUMBER(SEARCH(AW33,$C33)),ISNUMBER(SEARCH($C33,AW33))),1,0))</f>
        <v>1</v>
      </c>
      <c r="AY33" cm="1">
        <f t="array" ref="AY33">IF(OR(AW33="",AW33=0),0,IF(SUMPRODUCT(--(ISNUMBER(SEARCH(AW33,$C$2:$C$33))+ISNUMBER(SEARCH($C$2:$C$33,AW33))))&gt;0,1,0))</f>
        <v>1</v>
      </c>
      <c r="AZ33" cm="1">
        <f t="array" ref="AZ33">IF(OR(AW33="",AW33=0),0,IF(SUMPRODUCT((ISNUMBER(SEARCH(AW33,$C$2:$C$33))+ISNUMBER(SEARCH($C$2:$C$33,AW33)))*($B$2:$B$33=$B33))&gt;0,1,0))</f>
        <v>1</v>
      </c>
      <c r="BA33" s="17" t="str" cm="1">
        <f t="array" ref="BA33">_xlfn.LET(_xlpm.raw,'Other analyst '!N33,_xlpm.mockNames,'Colin''s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Jadarian Price</v>
      </c>
      <c r="BB33">
        <f>IF(OR(BA33="",BA33=0),0,IF(OR(ISNUMBER(SEARCH(BA33,$C33)),ISNUMBER(SEARCH($C33,BA33))),1,0))</f>
        <v>1</v>
      </c>
      <c r="BC33" cm="1">
        <f t="array" ref="BC33">IF(OR(BA33="",BA33=0),0,IF(SUMPRODUCT(--(ISNUMBER(SEARCH(BA33,$C$2:$C$33))+ISNUMBER(SEARCH($C$2:$C$33,BA33))))&gt;0,1,0))</f>
        <v>1</v>
      </c>
      <c r="BD33" cm="1">
        <f t="array" ref="BD33">IF(OR(BA33="",BA33=0),0,IF(SUMPRODUCT((ISNUMBER(SEARCH(BA33,$C$2:$C$33))+ISNUMBER(SEARCH($C$2:$C$33,BA33)))*($B$2:$B$33=$B33))&gt;0,1,0))</f>
        <v>1</v>
      </c>
      <c r="BE33" s="64" t="str" cm="1">
        <f t="array" ref="BE33">_xlfn.LET(_xlpm.raw,'Other analyst '!O33,_xlpm.mockNames,'Colin''s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Malachi Lawrence</v>
      </c>
      <c r="BF33">
        <f>IF(OR(BE33="",BE33=0),0,IF(OR(ISNUMBER(SEARCH(BE33,$C33)),ISNUMBER(SEARCH($C33,BE33))),1,0))</f>
        <v>0</v>
      </c>
      <c r="BG33" cm="1">
        <f t="array" ref="BG33">IF(OR(BE33="",BE33=0),0,IF(SUMPRODUCT(--(ISNUMBER(SEARCH(BE33,$C$2:$C$33))+ISNUMBER(SEARCH($C$2:$C$33,BE33))))&gt;0,1,0))</f>
        <v>1</v>
      </c>
      <c r="BH33" cm="1">
        <f t="array" ref="BH33">IF(OR(BE33="",BE33=0),0,IF(SUMPRODUCT((ISNUMBER(SEARCH(BE33,$C$2:$C$33))+ISNUMBER(SEARCH($C$2:$C$33,BE33)))*($B$2:$B$33=$B33))&gt;0,1,0))</f>
        <v>0</v>
      </c>
      <c r="BI33" s="64" t="str" cm="1">
        <f t="array" ref="BI33">_xlfn.LET(_xlpm.raw,'Other analyst '!P33,_xlpm.mockNames,'Colin''s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Chris Johnson</v>
      </c>
      <c r="BJ33">
        <f>IF(OR(BI33="",BI33=0),0,IF(OR(ISNUMBER(SEARCH(BI33,$C33)),ISNUMBER(SEARCH($C33,BI33))),1,0))</f>
        <v>0</v>
      </c>
      <c r="BK33" cm="1">
        <f t="array" ref="BK33">IF(OR(BI33="",BI33=0),0,IF(SUMPRODUCT(--(ISNUMBER(SEARCH(BI33,$C$2:$C$33))+ISNUMBER(SEARCH($C$2:$C$33,BI33))))&gt;0,1,0))</f>
        <v>1</v>
      </c>
      <c r="BL33" cm="1">
        <f t="array" ref="BL33">IF(OR(BI33="",BI33=0),0,IF(SUMPRODUCT((ISNUMBER(SEARCH(BI33,$C$2:$C$33))+ISNUMBER(SEARCH($C$2:$C$33,BI33)))*($B$2:$B$33=$B33))&gt;0,1,0))</f>
        <v>0</v>
      </c>
      <c r="BM33" s="17" t="str" cm="1">
        <f t="array" ref="BM33">_xlfn.LET(_xlpm.raw,'Other analyst '!Q33,_xlpm.mockNames,'Colin''s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Jadarian Price</v>
      </c>
      <c r="BN33">
        <f>IF(OR(BM33="",BM33=0),0,IF(OR(ISNUMBER(SEARCH(BM33,$C33)),ISNUMBER(SEARCH($C33,BM33))),1,0))</f>
        <v>1</v>
      </c>
      <c r="BO33" cm="1">
        <f t="array" ref="BO33">IF(OR(BM33="",BM33=0),0,IF(SUMPRODUCT(--(ISNUMBER(SEARCH(BM33,$C$2:$C$33))+ISNUMBER(SEARCH($C$2:$C$33,BM33))))&gt;0,1,0))</f>
        <v>1</v>
      </c>
      <c r="BP33" cm="1">
        <f t="array" ref="BP33">IF(OR(BM33="",BM33=0),0,IF(SUMPRODUCT((ISNUMBER(SEARCH(BM33,$C$2:$C$33))+ISNUMBER(SEARCH($C$2:$C$33,BM33)))*($B$2:$B$33=$B33))&gt;0,1,0))</f>
        <v>1</v>
      </c>
      <c r="BQ33" s="64" t="str" cm="1">
        <f t="array" ref="BQ33">_xlfn.LET(_xlpm.raw,'Other analyst '!R33,_xlpm.mockNames,'Colin''s Mock'!$D$2:$D$258,_xlpm.analystNames,_xlfn.TOCOL($E$2:$I$33),_xlpm.newNames,_xlfn.TOCOL('Other analyst '!$K$2:$R$33),_xlpm.allNames,_xlfn.VSTACK(_xlpm.mockNames,_xlpm.analystNames,_xlpm.newNames),_xlpm.matches,_xlfn._xlws.FILTER(_xlpm.allNames,ISNUMBER(SEARCH(_xlpm.allNames,_xlpm.raw))*(LEN(_xlpm.allNames)&gt;3),""),IF(ISERROR(INDEX(_xlpm.matches,1)),_xlpm.raw,INDEX(_xlpm.matches,1)))</f>
        <v>Chris Johnson</v>
      </c>
      <c r="BR33">
        <f>IF(OR(BQ33="",BQ33=0),0,IF(OR(ISNUMBER(SEARCH(BQ33,$C33)),ISNUMBER(SEARCH($C33,BQ33))),1,0))</f>
        <v>0</v>
      </c>
      <c r="BS33" cm="1">
        <f t="array" ref="BS33">IF(OR(BQ33="",BQ33=0),0,IF(SUMPRODUCT(--(ISNUMBER(SEARCH(BQ33,$C$2:$C$33))+ISNUMBER(SEARCH($C$2:$C$33,BQ33))))&gt;0,1,0))</f>
        <v>1</v>
      </c>
      <c r="BT33" cm="1">
        <f t="array" ref="BT33">IF(OR(BQ33="",BQ33=0),0,IF(SUMPRODUCT((ISNUMBER(SEARCH(BQ33,$C$2:$C$33))+ISNUMBER(SEARCH($C$2:$C$33,BQ33)))*($B$2:$B$33=$B33))&gt;0,1,0))</f>
        <v>0</v>
      </c>
      <c r="BU33" s="63" t="str">
        <f>'Colin Mock wTrade'!D33</f>
        <v>Jadarian Price</v>
      </c>
      <c r="BV33">
        <f>IF(BU33="",0,IF(OR(ISNUMBER(SEARCH(BU33,C33)),ISNUMBER(SEARCH(C33,BU33))),1,0))</f>
        <v>1</v>
      </c>
      <c r="BW33" cm="1">
        <f t="array" ref="BW33">IF(BU33="",0,IF(SUMPRODUCT(--(ISNUMBER(SEARCH(BU33,$C$2:$C$33))+ISNUMBER(SEARCH($C$2:$C$33,BU33))))&gt;0,1,0))</f>
        <v>1</v>
      </c>
      <c r="BX33" cm="1">
        <f t="array" ref="BX33">IF(BU33="",0,IFERROR(IF(SUMPRODUCT((ISNUMBER(SEARCH(BU33,$C$2:$C$33))+ISNUMBER(SEARCH($C$2:$C$33,BU33)))*($B$2:$B$33=VLOOKUP('Colin Mock wTrade'!C33,$CA$1:$CB$32,2,FALSE)))&gt;0,1,0),0))</f>
        <v>0</v>
      </c>
      <c r="CC33" t="str">
        <f>'Other analyst '!S33</f>
        <v>Chris Johnson</v>
      </c>
      <c r="CD33">
        <f t="shared" si="9"/>
        <v>0</v>
      </c>
      <c r="CE33" cm="1">
        <f t="array" ref="CE33">IF(CC33="",0,IF(SUMPRODUCT(--(ISNUMBER(SEARCH(CC33,$C$2:$C$33))+ISNUMBER(SEARCH($C$2:$C$33,CC33))))&gt;0,1,0))</f>
        <v>1</v>
      </c>
      <c r="CF33" cm="1">
        <f t="array" ref="CF33">IF(CC33="",0,IF(SUMPRODUCT((ISNUMBER(SEARCH(CC33,$C$2:$C$33))+ISNUMBER(SEARCH($C$2:$C$33,CC33)))*($B$2:$B$33=$B33))&gt;0,1,0))</f>
        <v>0</v>
      </c>
      <c r="CG33" t="str">
        <f>'Other analyst '!T33</f>
        <v>Colton Hood</v>
      </c>
      <c r="CH33">
        <f t="shared" si="10"/>
        <v>0</v>
      </c>
      <c r="CI33" cm="1">
        <f t="array" ref="CI33">IF(CG33="",0,IF(SUMPRODUCT(--(ISNUMBER(SEARCH(CG33,$C$2:$C$33))+ISNUMBER(SEARCH($C$2:$C$33,CG33))))&gt;0,1,0))</f>
        <v>0</v>
      </c>
      <c r="CJ33" cm="1">
        <f t="array" ref="CJ33">IF(CG33="",0,IF(SUMPRODUCT((ISNUMBER(SEARCH(CG33,$C$2:$C$33))+ISNUMBER(SEARCH($C$2:$C$33,CG33)))*($B$2:$B$33=$B33))&gt;0,1,0))</f>
        <v>0</v>
      </c>
      <c r="CK33" t="str">
        <f>'Other analyst '!U33</f>
        <v>KC Concepcion</v>
      </c>
      <c r="CL33">
        <f t="shared" si="11"/>
        <v>0</v>
      </c>
      <c r="CM33" cm="1">
        <f t="array" ref="CM33">IF(CK33="",0,IF(SUMPRODUCT(--(ISNUMBER(SEARCH(CK33,$C$2:$C$33))+ISNUMBER(SEARCH($C$2:$C$33,CK33))))&gt;0,1,0))</f>
        <v>1</v>
      </c>
      <c r="CN33" cm="1">
        <f t="array" ref="CN33">IF(CK33="",0,IF(SUMPRODUCT((ISNUMBER(SEARCH(CK33,$C$2:$C$33))+ISNUMBER(SEARCH($C$2:$C$33,CK33)))*($B$2:$B$33=$B33))&gt;0,1,0))</f>
        <v>0</v>
      </c>
      <c r="CO33" t="str">
        <f>'Other analyst '!V33</f>
        <v>Ahmad Hardy</v>
      </c>
      <c r="CP33">
        <f t="shared" si="12"/>
        <v>0</v>
      </c>
      <c r="CQ33" cm="1">
        <f t="array" ref="CQ33">IF(CO33="",0,IF(SUMPRODUCT(--(ISNUMBER(SEARCH(CO33,$C$2:$C$33))+ISNUMBER(SEARCH($C$2:$C$33,CO33))))&gt;0,1,0))</f>
        <v>0</v>
      </c>
      <c r="CR33" cm="1">
        <f t="array" ref="CR33">IF(CO33="",0,IF(SUMPRODUCT((ISNUMBER(SEARCH(CO33,$C$2:$C$33))+ISNUMBER(SEARCH($C$2:$C$33,CO33)))*($B$2:$B$33=$B33))&gt;0,1,0))</f>
        <v>0</v>
      </c>
      <c r="CS33" s="28" t="str">
        <f>'Other analyst '!W33</f>
        <v>Colton Hood</v>
      </c>
      <c r="CT33">
        <f t="shared" si="13"/>
        <v>0</v>
      </c>
      <c r="CU33" cm="1">
        <f t="array" ref="CU33">IF(CS33="",0,IF(SUMPRODUCT(--(ISNUMBER(SEARCH(CS33,$C$2:$C$33))+ISNUMBER(SEARCH($C$2:$C$33,CS33))))&gt;0,1,0))</f>
        <v>0</v>
      </c>
      <c r="CV33" cm="1">
        <f t="array" ref="CV33">IF(CS33="",0,IFERROR(IF(SUMPRODUCT((ISNUMBER(SEARCH(CS33,$C$2:$C$33))+ISNUMBER(SEARCH($C$2:$C$33,CS33)))*(ISNUMBER(SEARCH($B$2:$B$33,'Other analyst '!B33))+ISNUMBER(SEARCH('Other analyst '!B33,$B$2:$B$33))))&gt;0,1,0),0))</f>
        <v>0</v>
      </c>
      <c r="CW33" s="36" t="str">
        <f>'Other analyst '!AD33</f>
        <v>Keldric Faulk</v>
      </c>
      <c r="CX33">
        <f t="shared" si="14"/>
        <v>0</v>
      </c>
      <c r="CY33" cm="1">
        <f t="array" ref="CY33">IF(CW33="",0,IF(SUMPRODUCT(--(ISNUMBER(SEARCH(CW33,$C$2:$C$33))+ISNUMBER(SEARCH($C$2:$C$33,CW33))))&gt;0,1,0))</f>
        <v>1</v>
      </c>
      <c r="CZ33" cm="1">
        <f t="array" ref="CZ33">IF(CW33="",0,IF(SUMPRODUCT((ISNUMBER(SEARCH(CW33,$C$2:$C$33))+ISNUMBER(SEARCH($C$2:$C$33,CW33)))*($B$2:$B$33=$B33))&gt;0,1,0))</f>
        <v>0</v>
      </c>
      <c r="DA33" s="35" t="str">
        <f>'Other analyst '!AE33</f>
        <v>Avieon Terrell</v>
      </c>
      <c r="DB33">
        <f t="shared" si="15"/>
        <v>0</v>
      </c>
      <c r="DC33" cm="1">
        <f t="array" ref="DC33">IF(DA33="",0,IF(SUMPRODUCT(--(ISNUMBER(SEARCH(DA33,$C$2:$C$33))+ISNUMBER(SEARCH($C$2:$C$33,DA33))))&gt;0,1,0))</f>
        <v>0</v>
      </c>
      <c r="DD33" cm="1">
        <f t="array" ref="DD33">IF(DA33="",0,IF(SUMPRODUCT((ISNUMBER(SEARCH(DA33,$C$2:$C$33))+ISNUMBER(SEARCH($C$2:$C$33,DA33)))*($B$2:$B$33=$B33))&gt;0,1,0))</f>
        <v>0</v>
      </c>
      <c r="DE33" s="28" t="str">
        <f>'Other analyst '!AF33</f>
        <v>Jadarian Price</v>
      </c>
      <c r="DF33">
        <f t="shared" si="16"/>
        <v>1</v>
      </c>
      <c r="DG33" cm="1">
        <f t="array" ref="DG33">IF(DE33="",0,IF(SUMPRODUCT(--(ISNUMBER(SEARCH(DE33,$C$2:$C$33))+ISNUMBER(SEARCH($C$2:$C$33,DE33))))&gt;0,1,0))</f>
        <v>1</v>
      </c>
      <c r="DH33" cm="1">
        <f t="array" ref="DH33">IF(DE33="",0,IF(SUMPRODUCT((ISNUMBER(SEARCH(DE33,$C$2:$C$33))+ISNUMBER(SEARCH($C$2:$C$33,DE33)))*($B$2:$B$33=$B33))&gt;0,1,0))</f>
        <v>1</v>
      </c>
      <c r="DI33" s="36" t="str">
        <f>'Other analyst '!AG33</f>
        <v>Ty Simpson</v>
      </c>
      <c r="DJ33">
        <f t="shared" si="17"/>
        <v>0</v>
      </c>
      <c r="DK33" cm="1">
        <f t="array" ref="DK33">IF(DI33="",0,IF(SUMPRODUCT(--(ISNUMBER(SEARCH(DI33,$C$2:$C$33))+ISNUMBER(SEARCH($C$2:$C$33,DI33))))&gt;0,1,0))</f>
        <v>1</v>
      </c>
      <c r="DL33" cm="1">
        <f t="array" ref="DL33">IF(DI33="",0,IF(SUMPRODUCT((ISNUMBER(SEARCH(DI33,$C$2:$C$33))+ISNUMBER(SEARCH($C$2:$C$33,DI33)))*($B$2:$B$33=$B33))&gt;0,1,0))</f>
        <v>0</v>
      </c>
      <c r="DM33" s="35" t="str">
        <f>'Other analyst '!AB33</f>
        <v>Jadarian Price</v>
      </c>
      <c r="DN33">
        <f t="shared" si="18"/>
        <v>1</v>
      </c>
      <c r="DO33" cm="1">
        <f t="array" ref="DO33">IF(DM33="",0,IF(SUMPRODUCT(--(ISNUMBER(SEARCH(DM33,$C$2:$C$33))+ISNUMBER(SEARCH($C$2:$C$33,DM33))))&gt;0,1,0))</f>
        <v>1</v>
      </c>
      <c r="DP33" cm="1">
        <f t="array" ref="DP33">IF(DM33="",0,IFERROR(IF(SUMPRODUCT((ISNUMBER(SEARCH(DM33,$C$2:$C$33))+ISNUMBER(SEARCH($C$2:$C$33,DM33)))*(ISNUMBER(SEARCH($B$2:$B$33,'Other analyst '!B33))+ISNUMBER(SEARCH('Other analyst '!B33,$B$2:$B$33))))&gt;0,1,0),0))</f>
        <v>1</v>
      </c>
      <c r="DQ33" s="28" t="str">
        <f>'Other analyst '!AC33</f>
        <v>C.J. Allen</v>
      </c>
      <c r="DR33">
        <f t="shared" si="19"/>
        <v>0</v>
      </c>
      <c r="DS33" cm="1">
        <f t="array" ref="DS33">IF(DQ33="",0,IF(SUMPRODUCT(--(ISNUMBER(SEARCH(DQ33,$C$2:$C$33))+ISNUMBER(SEARCH($C$2:$C$33,DQ33))))&gt;0,1,0))</f>
        <v>0</v>
      </c>
      <c r="DT33" cm="1">
        <f t="array" ref="DT33">IF(DQ33="",0,IFERROR(IF(SUMPRODUCT((ISNUMBER(SEARCH(DQ33,$C$2:$C$33))+ISNUMBER(SEARCH($C$2:$C$33,DQ33)))*(ISNUMBER(SEARCH($B$2:$B$33,'Other analyst '!B33))+ISNUMBER(SEARCH('Other analyst '!B33,$B$2:$B$33))))&gt;0,1,0),0))</f>
        <v>0</v>
      </c>
      <c r="DU33" t="str">
        <f>IFERROR(TRIM(LEFT(IF(ISNUMBER(SEARCH("]",'Other analyst '!X33)),MID('Other analyst '!X33,SEARCH("]",'Other analyst '!X33)+1,200),'Other analyst '!X33),IFERROR(SEARCH(" (",IF(ISNUMBER(SEARCH("]",'Other analyst '!X33)),MID('Other analyst '!X33,SEARCH("]",'Other analyst '!X33)+1,200),'Other analyst '!X33))-1,LEN('Other analyst '!X33)))),"")</f>
        <v>Ty Simpson</v>
      </c>
      <c r="DV33">
        <f>IF(DU33="",0,IF(OR(ISNUMBER(SEARCH(DU33,C33)),ISNUMBER(SEARCH(C33,DU33))),1,0))</f>
        <v>0</v>
      </c>
      <c r="DW33" cm="1">
        <f t="array" ref="DW33">IF(DU33="",0,IF(SUMPRODUCT((ISNUMBER(SEARCH(DU33,$C$2:$C$33))+ISNUMBER(SEARCH($C$2:$C$33,DU33))))&gt;0,1,0))</f>
        <v>1</v>
      </c>
      <c r="DX33">
        <v>0</v>
      </c>
      <c r="DY33" t="str">
        <f>IFERROR(TRIM(LEFT(IF(ISNUMBER(SEARCH("]",'Other analyst '!Y33)),MID('Other analyst '!Y33,SEARCH("]",'Other analyst '!Y33)+1,200),'Other analyst '!Y33),IFERROR(SEARCH(" (",IF(ISNUMBER(SEARCH("]",'Other analyst '!Y33)),MID('Other analyst '!Y33,SEARCH("]",'Other analyst '!Y33)+1,200),'Other analyst '!Y33))-1,LEN('Other analyst '!Y33)))),"")</f>
        <v>Jadarian Price</v>
      </c>
      <c r="DZ33">
        <f>IF(DY33="",0,IF(OR(ISNUMBER(SEARCH(DY33,C33)),ISNUMBER(SEARCH(C33,DY33))),1,0))</f>
        <v>1</v>
      </c>
      <c r="EA33" cm="1">
        <f t="array" ref="EA33">IF(DY33="",0,IF(SUMPRODUCT((ISNUMBER(SEARCH(DY33,$C$2:$C$33))+ISNUMBER(SEARCH($C$2:$C$33,DY33))))&gt;0,1,0))</f>
        <v>1</v>
      </c>
      <c r="EB33">
        <v>0</v>
      </c>
      <c r="EC33" t="str">
        <f>IFERROR(TRIM(LEFT(IF(ISNUMBER(SEARCH("]",'Other analyst '!Z33)),MID('Other analyst '!Z33,SEARCH("]",'Other analyst '!Z33)+1,200),'Other analyst '!Z33),IFERROR(SEARCH(" (",IF(ISNUMBER(SEARCH("]",'Other analyst '!Z33)),MID('Other analyst '!Z33,SEARCH("]",'Other analyst '!Z33)+1,200),'Other analyst '!Z33))-1,LEN('Other analyst '!Z33)))),"")</f>
        <v>R Mason Thomas</v>
      </c>
      <c r="ED33">
        <f>IF(EC33="",0,IF(OR(ISNUMBER(SEARCH(EC33,C33)),ISNUMBER(SEARCH(C33,EC33))),1,0))</f>
        <v>0</v>
      </c>
      <c r="EE33" cm="1">
        <f t="array" ref="EE33">IF(EC33="",0,IF(SUMPRODUCT((ISNUMBER(SEARCH(EC33,$C$2:$C$33))+ISNUMBER(SEARCH($C$2:$C$33,EC33))))&gt;0,1,0))</f>
        <v>0</v>
      </c>
      <c r="EF33">
        <v>0</v>
      </c>
      <c r="EG33" t="str">
        <f>IFERROR(TRIM(LEFT(IF(ISNUMBER(SEARCH("]",'Other analyst '!AA33)),MID('Other analyst '!AA33,SEARCH("]",'Other analyst '!AA33)+1,200),'Other analyst '!AA33),IFERROR(SEARCH(" (",IF(ISNUMBER(SEARCH("]",'Other analyst '!AA33)),MID('Other analyst '!AA33,SEARCH("]",'Other analyst '!AA33)+1,200),'Other analyst '!AA33))-1,LEN('Other analyst '!AA33)))),"")</f>
        <v>Ty Simpson</v>
      </c>
      <c r="EH33">
        <f>IF(EG33="",0,IF(OR(ISNUMBER(SEARCH(EG33,C33)),ISNUMBER(SEARCH(C33,EG33))),1,0))</f>
        <v>0</v>
      </c>
      <c r="EI33" cm="1">
        <f t="array" ref="EI33">IF(EG33="",0,IF(SUMPRODUCT((ISNUMBER(SEARCH(EG33,$C$2:$C$33))+ISNUMBER(SEARCH($C$2:$C$33,EG33))))&gt;0,1,0))</f>
        <v>1</v>
      </c>
      <c r="EJ33">
        <v>0</v>
      </c>
      <c r="EK33">
        <f>K33+L33+M33+N33+O33+P33+AF33+AI33+AL33+AP33+AT33+AX33+BB33+BF33+BJ33+BN33+BR33+BV33+CD33+CH33+CL33+CP33+CT33+DV33+DZ33+ED33+EH33+DN33+DR33+CX33+DB33+DF33+DJ33</f>
        <v>10</v>
      </c>
    </row>
    <row r="34" spans="1:141">
      <c r="A34" s="81" t="s">
        <v>811</v>
      </c>
    </row>
    <row r="36" spans="1:141" ht="18.5">
      <c r="A36" s="21" t="s">
        <v>813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/>
      <c r="N36" t="s">
        <v>569</v>
      </c>
      <c r="O36"/>
      <c r="P36"/>
      <c r="Q36"/>
      <c r="R36"/>
      <c r="S36"/>
      <c r="T36"/>
      <c r="U36"/>
      <c r="V36"/>
    </row>
    <row r="37" spans="1:141" ht="40" customHeight="1">
      <c r="A37" s="24" t="s">
        <v>555</v>
      </c>
      <c r="B37" s="24" t="s">
        <v>562</v>
      </c>
      <c r="C37" s="24" t="s">
        <v>563</v>
      </c>
      <c r="D37" s="24" t="s">
        <v>564</v>
      </c>
      <c r="E37" s="24" t="s">
        <v>565</v>
      </c>
      <c r="F37" s="24" t="s">
        <v>566</v>
      </c>
      <c r="G37" s="24" t="s">
        <v>567</v>
      </c>
      <c r="H37" s="24" t="s">
        <v>568</v>
      </c>
      <c r="I37" s="80" t="s">
        <v>804</v>
      </c>
      <c r="J37" s="80" t="s">
        <v>805</v>
      </c>
      <c r="K37" s="80" t="s">
        <v>806</v>
      </c>
      <c r="L37" s="80" t="s">
        <v>807</v>
      </c>
      <c r="M37"/>
      <c r="N37" t="s">
        <v>570</v>
      </c>
      <c r="O37"/>
      <c r="P37"/>
      <c r="Q37"/>
      <c r="R37"/>
      <c r="S37"/>
      <c r="T37"/>
      <c r="U37"/>
      <c r="V37"/>
    </row>
    <row r="38" spans="1:141">
      <c r="A38" s="71" t="s">
        <v>542</v>
      </c>
      <c r="B38" s="72">
        <f>SUM(K2:K33)</f>
        <v>5</v>
      </c>
      <c r="C38" s="73">
        <f>B38/32</f>
        <v>0.15625</v>
      </c>
      <c r="D38" s="72" cm="1">
        <f t="array" ref="D38">SUMPRODUCT(--(MMULT(--((ISNUMBER(SEARCH(D2:D11,TRANSPOSE($C$2:$C$11)))+ISNUMBER(SEARCH(TRANSPOSE($C$2:$C$11),D2:D11)))&gt;0),ROW($C$2:$C$11)^0)&gt;0))</f>
        <v>8</v>
      </c>
      <c r="E38" s="73">
        <f>D38/10</f>
        <v>0.8</v>
      </c>
      <c r="F38" s="72">
        <f>SUM(Q2:Q33)</f>
        <v>27</v>
      </c>
      <c r="G38" s="73">
        <f>F38/32</f>
        <v>0.84375</v>
      </c>
      <c r="H38" s="72">
        <f>SUM(W2:W33)</f>
        <v>5</v>
      </c>
      <c r="I38" s="82" cm="1">
        <f t="array" ref="I38">_xlfn.LET(_xlpm.p,D$2:D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20</v>
      </c>
      <c r="J38" s="83" cm="1">
        <f t="array" ref="J38">_xlfn.LET(_xlpm.p,D$2:D$6,_xlpm.a,$C$2:$C$6,_xlpm.M,--((ISNUMBER(SEARCH(_xlpm.p,TRANSPOSE(_xlpm.a)))+ISNUMBER(SEARCH(TRANSPOSE(_xlpm.a),_xlpm.p)))&gt;0)*(_xlpm.p&lt;&gt;""),SUMPRODUCT(--(MMULT(_xlpm.M,_xlfn.SEQUENCE(5,1,1,0))&gt;0)))</f>
        <v>4</v>
      </c>
      <c r="K38" s="84" cm="1">
        <f t="array" ref="K38">_xlfn.LET(_xlpm.p,D$2:D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3.2222222222222223</v>
      </c>
      <c r="L38" s="82" cm="1">
        <f t="array" ref="L38">SUMPRODUCT((K$2:K$33=1)*($EK$2:$EK$33&lt;=2))</f>
        <v>0</v>
      </c>
      <c r="M38"/>
      <c r="N38" t="s">
        <v>571</v>
      </c>
      <c r="O38"/>
      <c r="P38"/>
      <c r="Q38"/>
      <c r="R38"/>
      <c r="S38"/>
      <c r="T38"/>
      <c r="U38"/>
      <c r="V38"/>
    </row>
    <row r="39" spans="1:141">
      <c r="A39" s="25" t="s">
        <v>450</v>
      </c>
      <c r="B39" s="26">
        <f>SUM(L2:L33)</f>
        <v>7</v>
      </c>
      <c r="C39" s="27">
        <f>B39/32</f>
        <v>0.21875</v>
      </c>
      <c r="D39" s="26" cm="1">
        <f t="array" ref="D39">SUMPRODUCT(--(MMULT(--((ISNUMBER(SEARCH(E2:E11,TRANSPOSE($C$2:$C$11)))+ISNUMBER(SEARCH(TRANSPOSE($C$2:$C$11),E2:E11)))&gt;0),ROW($C$2:$C$11)^0)&gt;0))</f>
        <v>7</v>
      </c>
      <c r="E39" s="27">
        <f>D39/10</f>
        <v>0.7</v>
      </c>
      <c r="F39" s="26">
        <f>SUM(R2:R33)</f>
        <v>27</v>
      </c>
      <c r="G39" s="27">
        <f>F39/32</f>
        <v>0.84375</v>
      </c>
      <c r="H39" s="26">
        <f>SUM(X2:X33)</f>
        <v>7</v>
      </c>
      <c r="I39" s="82" cm="1">
        <f t="array" ref="I39">_xlfn.LET(_xlpm.p,E$2:E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21</v>
      </c>
      <c r="J39" s="83" cm="1">
        <f t="array" ref="J39">_xlfn.LET(_xlpm.p,E$2:E$6,_xlpm.a,$C$2:$C$6,_xlpm.M,--((ISNUMBER(SEARCH(_xlpm.p,TRANSPOSE(_xlpm.a)))+ISNUMBER(SEARCH(TRANSPOSE(_xlpm.a),_xlpm.p)))&gt;0)*(_xlpm.p&lt;&gt;""),SUMPRODUCT(--(MMULT(_xlpm.M,_xlfn.SEQUENCE(5,1,1,0))&gt;0)))</f>
        <v>4</v>
      </c>
      <c r="K39" s="84" cm="1">
        <f t="array" ref="K39">_xlfn.LET(_xlpm.p,E$2:E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3.6296296296296298</v>
      </c>
      <c r="L39" s="82" cm="1">
        <f t="array" ref="L39">SUMPRODUCT((L$2:L$33=1)*($EK$2:$EK$33&lt;=2))</f>
        <v>1</v>
      </c>
      <c r="M39"/>
      <c r="N39" t="s">
        <v>572</v>
      </c>
      <c r="O39"/>
      <c r="P39"/>
      <c r="Q39"/>
      <c r="R39"/>
      <c r="S39"/>
      <c r="T39"/>
      <c r="U39"/>
      <c r="V39"/>
    </row>
    <row r="40" spans="1:141">
      <c r="A40" s="25" t="s">
        <v>451</v>
      </c>
      <c r="B40" s="26">
        <f>SUM(M2:M33)</f>
        <v>5</v>
      </c>
      <c r="C40" s="27">
        <f>B40/32</f>
        <v>0.15625</v>
      </c>
      <c r="D40" s="26" cm="1">
        <f t="array" ref="D40">SUMPRODUCT(--(MMULT(--((ISNUMBER(SEARCH(F2:F11,TRANSPOSE($C$2:$C$11)))+ISNUMBER(SEARCH(TRANSPOSE($C$2:$C$11),F2:F11)))&gt;0),ROW($C$2:$C$11)^0)&gt;0))</f>
        <v>8</v>
      </c>
      <c r="E40" s="27">
        <f>D40/10</f>
        <v>0.8</v>
      </c>
      <c r="F40" s="26">
        <f>SUM(S2:S33)</f>
        <v>26</v>
      </c>
      <c r="G40" s="27">
        <f>F40/32</f>
        <v>0.8125</v>
      </c>
      <c r="H40" s="26">
        <f>SUM(Y2:Y33)</f>
        <v>6</v>
      </c>
      <c r="I40" s="82" cm="1">
        <f t="array" ref="I40">_xlfn.LET(_xlpm.p,F$2:F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15</v>
      </c>
      <c r="J40" s="83" cm="1">
        <f t="array" ref="J40">_xlfn.LET(_xlpm.p,F$2:F$6,_xlpm.a,$C$2:$C$6,_xlpm.M,--((ISNUMBER(SEARCH(_xlpm.p,TRANSPOSE(_xlpm.a)))+ISNUMBER(SEARCH(TRANSPOSE(_xlpm.a),_xlpm.p)))&gt;0)*(_xlpm.p&lt;&gt;""),SUMPRODUCT(--(MMULT(_xlpm.M,_xlfn.SEQUENCE(5,1,1,0))&gt;0)))</f>
        <v>4</v>
      </c>
      <c r="K40" s="84" cm="1">
        <f t="array" ref="K40">_xlfn.LET(_xlpm.p,F$2:F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4.5769230769230766</v>
      </c>
      <c r="L40" s="82" cm="1">
        <f t="array" ref="L40">SUMPRODUCT((M$2:M$33=1)*($EK$2:$EK$33&lt;=2))</f>
        <v>1</v>
      </c>
      <c r="M40"/>
      <c r="N40" t="s">
        <v>573</v>
      </c>
      <c r="O40"/>
      <c r="P40"/>
      <c r="Q40"/>
      <c r="R40"/>
      <c r="S40"/>
      <c r="T40"/>
      <c r="U40"/>
      <c r="V40"/>
    </row>
    <row r="41" spans="1:141">
      <c r="A41" s="25" t="s">
        <v>452</v>
      </c>
      <c r="B41" s="26">
        <f>SUM(N2:N33)</f>
        <v>5</v>
      </c>
      <c r="C41" s="27">
        <f>B41/32</f>
        <v>0.15625</v>
      </c>
      <c r="D41" s="26" cm="1">
        <f t="array" ref="D41">SUMPRODUCT(--(MMULT(--((ISNUMBER(SEARCH(G2:G11,TRANSPOSE($C$2:$C$11)))+ISNUMBER(SEARCH(TRANSPOSE($C$2:$C$11),G2:G11)))&gt;0),ROW($C$2:$C$11)^0)&gt;0))</f>
        <v>9</v>
      </c>
      <c r="E41" s="27">
        <f>D41/10</f>
        <v>0.9</v>
      </c>
      <c r="F41" s="26">
        <f>SUM(T2:T33)</f>
        <v>28</v>
      </c>
      <c r="G41" s="27">
        <f>F41/32</f>
        <v>0.875</v>
      </c>
      <c r="H41" s="26">
        <f>SUM(Z2:Z33)</f>
        <v>5</v>
      </c>
      <c r="I41" s="82" cm="1">
        <f t="array" ref="I41">_xlfn.LET(_xlpm.p,G$2:G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22</v>
      </c>
      <c r="J41" s="83" cm="1">
        <f t="array" ref="J41">_xlfn.LET(_xlpm.p,G$2:G$6,_xlpm.a,$C$2:$C$6,_xlpm.M,--((ISNUMBER(SEARCH(_xlpm.p,TRANSPOSE(_xlpm.a)))+ISNUMBER(SEARCH(TRANSPOSE(_xlpm.a),_xlpm.p)))&gt;0)*(_xlpm.p&lt;&gt;""),SUMPRODUCT(--(MMULT(_xlpm.M,_xlfn.SEQUENCE(5,1,1,0))&gt;0)))</f>
        <v>4</v>
      </c>
      <c r="K41" s="84" cm="1">
        <f t="array" ref="K41">_xlfn.LET(_xlpm.p,G$2:G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3.5357142857142856</v>
      </c>
      <c r="L41" s="82" cm="1">
        <f t="array" ref="L41">SUMPRODUCT((N$2:N$33=1)*($EK$2:$EK$33&lt;=2))</f>
        <v>0</v>
      </c>
      <c r="M41"/>
      <c r="N41"/>
      <c r="O41"/>
      <c r="P41"/>
      <c r="Q41"/>
      <c r="R41"/>
      <c r="S41"/>
      <c r="T41"/>
      <c r="U41"/>
      <c r="V41"/>
    </row>
    <row r="42" spans="1:141">
      <c r="A42" s="25" t="s">
        <v>453</v>
      </c>
      <c r="B42" s="26">
        <f>SUM(O2:O33)</f>
        <v>4</v>
      </c>
      <c r="C42" s="27">
        <f>B42/32</f>
        <v>0.125</v>
      </c>
      <c r="D42" s="26" cm="1">
        <f t="array" ref="D42">SUMPRODUCT(--(MMULT(--((ISNUMBER(SEARCH(H2:H11,TRANSPOSE($C$2:$C$11)))+ISNUMBER(SEARCH(TRANSPOSE($C$2:$C$11),H2:H11)))&gt;0),ROW($C$2:$C$11)^0)&gt;0))</f>
        <v>8</v>
      </c>
      <c r="E42" s="27">
        <f>D42/10</f>
        <v>0.8</v>
      </c>
      <c r="F42" s="26">
        <f>SUM(U2:U33)</f>
        <v>28</v>
      </c>
      <c r="G42" s="27">
        <f>F42/32</f>
        <v>0.875</v>
      </c>
      <c r="H42" s="26">
        <f>SUM(AA2:AA33)</f>
        <v>5</v>
      </c>
      <c r="I42" s="82" cm="1">
        <f t="array" ref="I42">_xlfn.LET(_xlpm.p,H$2:H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17</v>
      </c>
      <c r="J42" s="83" cm="1">
        <f t="array" ref="J42">_xlfn.LET(_xlpm.p,H$2:H$6,_xlpm.a,$C$2:$C$6,_xlpm.M,--((ISNUMBER(SEARCH(_xlpm.p,TRANSPOSE(_xlpm.a)))+ISNUMBER(SEARCH(TRANSPOSE(_xlpm.a),_xlpm.p)))&gt;0)*(_xlpm.p&lt;&gt;""),SUMPRODUCT(--(MMULT(_xlpm.M,_xlfn.SEQUENCE(5,1,1,0))&gt;0)))</f>
        <v>4</v>
      </c>
      <c r="K42" s="84" cm="1">
        <f t="array" ref="K42">_xlfn.LET(_xlpm.p,H$2:H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4.7142857142857144</v>
      </c>
      <c r="L42" s="82" cm="1">
        <f t="array" ref="L42">SUMPRODUCT((O$2:O$33=1)*($EK$2:$EK$33&lt;=2))</f>
        <v>0</v>
      </c>
      <c r="M42"/>
      <c r="N42"/>
      <c r="O42"/>
      <c r="P42"/>
      <c r="Q42"/>
      <c r="R42"/>
      <c r="S42"/>
      <c r="T42"/>
      <c r="U42"/>
      <c r="V42"/>
    </row>
    <row r="43" spans="1:141">
      <c r="A43" s="38" t="s">
        <v>454</v>
      </c>
      <c r="B43" s="39">
        <f>SUM(P2:P33)</f>
        <v>3</v>
      </c>
      <c r="C43" s="40">
        <f>B43/32</f>
        <v>9.375E-2</v>
      </c>
      <c r="D43" s="39" cm="1">
        <f t="array" ref="D43">SUMPRODUCT(--(MMULT(--((ISNUMBER(SEARCH(I2:I11,TRANSPOSE($C$2:$C$11)))+ISNUMBER(SEARCH(TRANSPOSE($C$2:$C$11),I2:I11)))&gt;0),ROW($C$2:$C$11)^0)&gt;0))</f>
        <v>8</v>
      </c>
      <c r="E43" s="40">
        <f>D43/10</f>
        <v>0.8</v>
      </c>
      <c r="F43" s="39">
        <f>SUM(V2:V33)</f>
        <v>26</v>
      </c>
      <c r="G43" s="40">
        <f>F43/32</f>
        <v>0.8125</v>
      </c>
      <c r="H43" s="39">
        <f>SUM(AB2:AB33)</f>
        <v>3</v>
      </c>
      <c r="I43" s="82" cm="1">
        <f t="array" ref="I43">_xlfn.LET(_xlpm.p,I$2:I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17</v>
      </c>
      <c r="J43" s="83" cm="1">
        <f t="array" ref="J43">_xlfn.LET(_xlpm.p,I$2:I$6,_xlpm.a,$C$2:$C$6,_xlpm.M,--((ISNUMBER(SEARCH(_xlpm.p,TRANSPOSE(_xlpm.a)))+ISNUMBER(SEARCH(TRANSPOSE(_xlpm.a),_xlpm.p)))&gt;0)*(_xlpm.p&lt;&gt;""),SUMPRODUCT(--(MMULT(_xlpm.M,_xlfn.SEQUENCE(5,1,1,0))&gt;0)))</f>
        <v>3</v>
      </c>
      <c r="K43" s="84" cm="1">
        <f t="array" ref="K43">_xlfn.LET(_xlpm.p,I$2:I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4.384615384615385</v>
      </c>
      <c r="L43" s="82" cm="1">
        <f t="array" ref="L43">SUMPRODUCT((P$2:P$33=1)*($EK$2:$EK$33&lt;=2))</f>
        <v>0</v>
      </c>
      <c r="M43"/>
      <c r="N43"/>
      <c r="O43"/>
      <c r="P43"/>
      <c r="Q43"/>
      <c r="R43"/>
      <c r="S43"/>
      <c r="T43"/>
      <c r="U43"/>
      <c r="V43"/>
    </row>
    <row r="44" spans="1:141">
      <c r="A44" s="41" t="s">
        <v>574</v>
      </c>
      <c r="B44" s="42">
        <f>SUM(AF2:AF33)</f>
        <v>3</v>
      </c>
      <c r="C44" s="43">
        <f>B44/32</f>
        <v>9.375E-2</v>
      </c>
      <c r="D44" s="42" cm="1">
        <f t="array" ref="D44">SUMPRODUCT(--(MMULT(--((ISNUMBER(SEARCH(AC2:AC11,TRANSPOSE($C$2:$C$11)))+ISNUMBER(SEARCH(TRANSPOSE($C$2:$C$11),AC2:AC11)))&gt;0),ROW($C$2:$C$11)^0)&gt;0))</f>
        <v>10</v>
      </c>
      <c r="E44" s="43">
        <f>D44/10</f>
        <v>1</v>
      </c>
      <c r="F44" s="42">
        <f>SUM(AG2:AG33)</f>
        <v>29</v>
      </c>
      <c r="G44" s="43">
        <f>F44/32</f>
        <v>0.90625</v>
      </c>
      <c r="H44" s="44">
        <f>SUM(AH2:AH33)</f>
        <v>4</v>
      </c>
      <c r="I44" s="82" cm="1">
        <f t="array" ref="I44">_xlfn.LET(_xlpm.p,AC$2:AC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21</v>
      </c>
      <c r="J44" s="83" cm="1">
        <f t="array" ref="J44">_xlfn.LET(_xlpm.p,AC$2:AC$6,_xlpm.a,$C$2:$C$6,_xlpm.M,--((ISNUMBER(SEARCH(_xlpm.p,TRANSPOSE(_xlpm.a)))+ISNUMBER(SEARCH(TRANSPOSE(_xlpm.a),_xlpm.p)))&gt;0)*(_xlpm.p&lt;&gt;""),SUMPRODUCT(--(MMULT(_xlpm.M,_xlfn.SEQUENCE(5,1,1,0))&gt;0)))</f>
        <v>4</v>
      </c>
      <c r="K44" s="84" cm="1">
        <f t="array" ref="K44">_xlfn.LET(_xlpm.p,AC$2:AC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3.8620689655172415</v>
      </c>
      <c r="L44" s="82" cm="1">
        <f t="array" ref="L44">SUMPRODUCT((AF$2:AF$33=1)*($EK$2:$EK$33&lt;=2))</f>
        <v>0</v>
      </c>
    </row>
    <row r="45" spans="1:141">
      <c r="A45" s="45" t="s">
        <v>575</v>
      </c>
      <c r="B45" s="46">
        <f>SUM(AI2:AI33)</f>
        <v>6</v>
      </c>
      <c r="C45" s="47">
        <f>B45/32</f>
        <v>0.1875</v>
      </c>
      <c r="D45" s="46" cm="1">
        <f t="array" ref="D45">SUMPRODUCT(--(MMULT(--((ISNUMBER(SEARCH(AD2:AD11,TRANSPOSE($C$2:$C$11)))+ISNUMBER(SEARCH(TRANSPOSE($C$2:$C$11),AD2:AD11)))&gt;0),ROW($C$2:$C$11)^0)&gt;0))</f>
        <v>8</v>
      </c>
      <c r="E45" s="47">
        <f>D45/10</f>
        <v>0.8</v>
      </c>
      <c r="F45" s="46">
        <f>SUM(AJ2:AJ33)</f>
        <v>28</v>
      </c>
      <c r="G45" s="47">
        <f>F45/32</f>
        <v>0.875</v>
      </c>
      <c r="H45" s="48">
        <f>SUM(AK2:AK33)</f>
        <v>7</v>
      </c>
      <c r="I45" s="82" cm="1">
        <f t="array" ref="I45">_xlfn.LET(_xlpm.p,AD$2:AD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18</v>
      </c>
      <c r="J45" s="83" cm="1">
        <f t="array" ref="J45">_xlfn.LET(_xlpm.p,AD$2:AD$6,_xlpm.a,$C$2:$C$6,_xlpm.M,--((ISNUMBER(SEARCH(_xlpm.p,TRANSPOSE(_xlpm.a)))+ISNUMBER(SEARCH(TRANSPOSE(_xlpm.a),_xlpm.p)))&gt;0)*(_xlpm.p&lt;&gt;""),SUMPRODUCT(--(MMULT(_xlpm.M,_xlfn.SEQUENCE(5,1,1,0))&gt;0)))</f>
        <v>4</v>
      </c>
      <c r="K45" s="84" cm="1">
        <f t="array" ref="K45">_xlfn.LET(_xlpm.p,AD$2:AD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4.5357142857142856</v>
      </c>
      <c r="L45" s="82" cm="1">
        <f t="array" ref="L45">SUMPRODUCT((AI$2:AI$33=1)*($EK$2:$EK$33&lt;=2))</f>
        <v>0</v>
      </c>
    </row>
    <row r="46" spans="1:141">
      <c r="A46" s="53" t="s">
        <v>576</v>
      </c>
      <c r="B46" s="54">
        <f>SUM(AL2:AL33)</f>
        <v>1</v>
      </c>
      <c r="C46" s="55">
        <f>B46/32</f>
        <v>3.125E-2</v>
      </c>
      <c r="D46" s="54" cm="1">
        <f t="array" ref="D46">SUMPRODUCT(--(MMULT(--((ISNUMBER(SEARCH(AE2:AE11,TRANSPOSE($C$2:$C$11)))+ISNUMBER(SEARCH(TRANSPOSE($C$2:$C$11),AE2:AE11)))&gt;0),ROW($C$2:$C$11)^0)&gt;0))</f>
        <v>7</v>
      </c>
      <c r="E46" s="55">
        <f>D46/10</f>
        <v>0.7</v>
      </c>
      <c r="F46" s="54">
        <f>SUM(AM2:AM33)</f>
        <v>27</v>
      </c>
      <c r="G46" s="55">
        <f>F46/32</f>
        <v>0.84375</v>
      </c>
      <c r="H46" s="56">
        <f>SUM(AN2:AN33)</f>
        <v>1</v>
      </c>
      <c r="I46" s="82" cm="1">
        <f t="array" ref="I46">_xlfn.LET(_xlpm.p,AE$2:AE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16</v>
      </c>
      <c r="J46" s="83" cm="1">
        <f t="array" ref="J46">_xlfn.LET(_xlpm.p,AE$2:AE$6,_xlpm.a,$C$2:$C$6,_xlpm.M,--((ISNUMBER(SEARCH(_xlpm.p,TRANSPOSE(_xlpm.a)))+ISNUMBER(SEARCH(TRANSPOSE(_xlpm.a),_xlpm.p)))&gt;0)*(_xlpm.p&lt;&gt;""),SUMPRODUCT(--(MMULT(_xlpm.M,_xlfn.SEQUENCE(5,1,1,0))&gt;0)))</f>
        <v>4</v>
      </c>
      <c r="K46" s="84" cm="1">
        <f t="array" ref="K46">_xlfn.LET(_xlpm.p,AE$2:AE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4.4074074074074074</v>
      </c>
      <c r="L46" s="82" cm="1">
        <f t="array" ref="L46">SUMPRODUCT((AL$2:AL$33=1)*($EK$2:$EK$33&lt;=2))</f>
        <v>0</v>
      </c>
    </row>
    <row r="47" spans="1:141">
      <c r="A47" s="61" t="s">
        <v>680</v>
      </c>
      <c r="B47" s="59">
        <f>SUM(AP2:AP33)</f>
        <v>7</v>
      </c>
      <c r="C47" s="60">
        <f>B47/32</f>
        <v>0.21875</v>
      </c>
      <c r="D47" s="59" cm="1">
        <f t="array" ref="D47">SUMPRODUCT(--(MMULT(--((ISNUMBER(SEARCH(AO2:AO11,TRANSPOSE($C$2:$C$11)))+ISNUMBER(SEARCH(TRANSPOSE($C$2:$C$11),AO2:AO11)))&gt;0),ROW($C$2:$C$11)^0)&gt;0))</f>
        <v>9</v>
      </c>
      <c r="E47" s="60">
        <f>D47/10</f>
        <v>0.9</v>
      </c>
      <c r="F47" s="59">
        <f>SUM(AQ2:AQ33)</f>
        <v>28</v>
      </c>
      <c r="G47" s="60">
        <f>F47/32</f>
        <v>0.875</v>
      </c>
      <c r="H47" s="59">
        <f>SUM(AR2:AR33)</f>
        <v>7</v>
      </c>
      <c r="I47" s="82" cm="1">
        <f t="array" ref="I47">_xlfn.LET(_xlpm.p,AO$2:AO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24</v>
      </c>
      <c r="J47" s="83" cm="1">
        <f t="array" ref="J47">_xlfn.LET(_xlpm.p,AO$2:AO$6,_xlpm.a,$C$2:$C$6,_xlpm.M,--((ISNUMBER(SEARCH(_xlpm.p,TRANSPOSE(_xlpm.a)))+ISNUMBER(SEARCH(TRANSPOSE(_xlpm.a),_xlpm.p)))&gt;0)*(_xlpm.p&lt;&gt;""),SUMPRODUCT(--(MMULT(_xlpm.M,_xlfn.SEQUENCE(5,1,1,0))&gt;0)))</f>
        <v>4</v>
      </c>
      <c r="K47" s="84" cm="1">
        <f t="array" ref="K47">_xlfn.LET(_xlpm.p,AO$2:AO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</v>
      </c>
      <c r="L47" s="82" cm="1">
        <f t="array" ref="L47">SUMPRODUCT((AP$2:AP$33=1)*($EK$2:$EK$33&lt;=2))</f>
        <v>2</v>
      </c>
    </row>
    <row r="48" spans="1:141">
      <c r="A48" s="62" t="s">
        <v>610</v>
      </c>
      <c r="B48" s="57">
        <f>SUM(AT2:AT33)</f>
        <v>2</v>
      </c>
      <c r="C48" s="58">
        <f>B48/32</f>
        <v>6.25E-2</v>
      </c>
      <c r="D48" s="57" cm="1">
        <f t="array" ref="D48">SUMPRODUCT(--(MMULT(--((ISNUMBER(SEARCH(AS2:AS11,TRANSPOSE($C$2:$C$11)))+ISNUMBER(SEARCH(TRANSPOSE($C$2:$C$11),AS2:AS11)))&gt;0),ROW($C$2:$C$11)^0)&gt;0))</f>
        <v>7</v>
      </c>
      <c r="E48" s="58">
        <f>D48/10</f>
        <v>0.7</v>
      </c>
      <c r="F48" s="57">
        <f>SUM(AU2:AU33)</f>
        <v>25</v>
      </c>
      <c r="G48" s="58">
        <f>F48/32</f>
        <v>0.78125</v>
      </c>
      <c r="H48" s="57">
        <f>SUM(AV2:AV33)</f>
        <v>2</v>
      </c>
      <c r="I48" s="82" cm="1">
        <f t="array" ref="I48">_xlfn.LET(_xlpm.p,AS$2:AS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14</v>
      </c>
      <c r="J48" s="83" cm="1">
        <f t="array" ref="J48">_xlfn.LET(_xlpm.p,AS$2:AS$6,_xlpm.a,$C$2:$C$6,_xlpm.M,--((ISNUMBER(SEARCH(_xlpm.p,TRANSPOSE(_xlpm.a)))+ISNUMBER(SEARCH(TRANSPOSE(_xlpm.a),_xlpm.p)))&gt;0)*(_xlpm.p&lt;&gt;""),SUMPRODUCT(--(MMULT(_xlpm.M,_xlfn.SEQUENCE(5,1,1,0))&gt;0)))</f>
        <v>3</v>
      </c>
      <c r="K48" s="84" cm="1">
        <f t="array" ref="K48">_xlfn.LET(_xlpm.p,AS$2:AS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5.64</v>
      </c>
      <c r="L48" s="82" cm="1">
        <f t="array" ref="L48">SUMPRODUCT((AT$2:AT$33=1)*($EK$2:$EK$33&lt;=2))</f>
        <v>0</v>
      </c>
    </row>
    <row r="49" spans="1:12">
      <c r="A49" s="61" t="s">
        <v>611</v>
      </c>
      <c r="B49" s="59">
        <f>SUM(AX2:AX33)</f>
        <v>6</v>
      </c>
      <c r="C49" s="60">
        <f>B49/32</f>
        <v>0.1875</v>
      </c>
      <c r="D49" s="59" cm="1">
        <f t="array" ref="D49">SUMPRODUCT(--(MMULT(--((ISNUMBER(SEARCH(AW2:AW11,TRANSPOSE($C$2:$C$11)))+ISNUMBER(SEARCH(TRANSPOSE($C$2:$C$11),AW2:AW11)))&gt;0),ROW($C$2:$C$11)^0)&gt;0))</f>
        <v>9</v>
      </c>
      <c r="E49" s="60">
        <f>D49/10</f>
        <v>0.9</v>
      </c>
      <c r="F49" s="59">
        <f>SUM(AY2:AY33)</f>
        <v>27</v>
      </c>
      <c r="G49" s="60">
        <f>F49/32</f>
        <v>0.84375</v>
      </c>
      <c r="H49" s="59">
        <f>SUM(AZ2:AZ33)</f>
        <v>6</v>
      </c>
      <c r="I49" s="82" cm="1">
        <f t="array" ref="I49">_xlfn.LET(_xlpm.p,AW$2:AW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19</v>
      </c>
      <c r="J49" s="83" cm="1">
        <f t="array" ref="J49">_xlfn.LET(_xlpm.p,AW$2:AW$6,_xlpm.a,$C$2:$C$6,_xlpm.M,--((ISNUMBER(SEARCH(_xlpm.p,TRANSPOSE(_xlpm.a)))+ISNUMBER(SEARCH(TRANSPOSE(_xlpm.a),_xlpm.p)))&gt;0)*(_xlpm.p&lt;&gt;""),SUMPRODUCT(--(MMULT(_xlpm.M,_xlfn.SEQUENCE(5,1,1,0))&gt;0)))</f>
        <v>4</v>
      </c>
      <c r="K49" s="84" cm="1">
        <f t="array" ref="K49">_xlfn.LET(_xlpm.p,AW$2:AW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3.8888888888888888</v>
      </c>
      <c r="L49" s="82" cm="1">
        <f t="array" ref="L49">SUMPRODUCT((AX$2:AX$33=1)*($EK$2:$EK$33&lt;=2))</f>
        <v>0</v>
      </c>
    </row>
    <row r="50" spans="1:12">
      <c r="A50" s="68" t="s">
        <v>681</v>
      </c>
      <c r="B50" s="69">
        <f>SUM(BB2:BB33)</f>
        <v>8</v>
      </c>
      <c r="C50" s="70">
        <f>B50/32</f>
        <v>0.25</v>
      </c>
      <c r="D50" s="69" cm="1">
        <f t="array" ref="D50">SUMPRODUCT(--(MMULT(--((ISNUMBER(SEARCH(BA2:BA11,TRANSPOSE($C$2:$C$11)))+ISNUMBER(SEARCH(TRANSPOSE($C$2:$C$11),BA2:BA11)))&gt;0),ROW($C$2:$C$11)^0)&gt;0))</f>
        <v>9</v>
      </c>
      <c r="E50" s="70">
        <f>D50/10</f>
        <v>0.9</v>
      </c>
      <c r="F50" s="69">
        <f>SUM(BC2:BC33)</f>
        <v>28</v>
      </c>
      <c r="G50" s="70">
        <f>F50/32</f>
        <v>0.875</v>
      </c>
      <c r="H50" s="69">
        <f>SUM(BD2:BD33)</f>
        <v>8</v>
      </c>
      <c r="I50" s="82" cm="1">
        <f t="array" ref="I50">_xlfn.LET(_xlpm.p,BA$2:BA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22</v>
      </c>
      <c r="J50" s="83" cm="1">
        <f t="array" ref="J50">_xlfn.LET(_xlpm.p,BA$2:BA$6,_xlpm.a,$C$2:$C$6,_xlpm.M,--((ISNUMBER(SEARCH(_xlpm.p,TRANSPOSE(_xlpm.a)))+ISNUMBER(SEARCH(TRANSPOSE(_xlpm.a),_xlpm.p)))&gt;0)*(_xlpm.p&lt;&gt;""),SUMPRODUCT(--(MMULT(_xlpm.M,_xlfn.SEQUENCE(5,1,1,0))&gt;0)))</f>
        <v>3</v>
      </c>
      <c r="K50" s="84" cm="1">
        <f t="array" ref="K50">_xlfn.LET(_xlpm.p,BA$2:BA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3.0714285714285716</v>
      </c>
      <c r="L50" s="82" cm="1">
        <f t="array" ref="L50">SUMPRODUCT((BB$2:BB$33=1)*($EK$2:$EK$33&lt;=2))</f>
        <v>0</v>
      </c>
    </row>
    <row r="51" spans="1:12">
      <c r="A51" s="61" t="s">
        <v>682</v>
      </c>
      <c r="B51" s="59">
        <f>SUM(BF2:BF33)</f>
        <v>4</v>
      </c>
      <c r="C51" s="60">
        <f>B51/32</f>
        <v>0.125</v>
      </c>
      <c r="D51" s="59" cm="1">
        <f t="array" ref="D51">SUMPRODUCT(--(MMULT(--((ISNUMBER(SEARCH(BE2:BE11,TRANSPOSE($C$2:$C$11)))+ISNUMBER(SEARCH(TRANSPOSE($C$2:$C$11),BE2:BE11)))&gt;0),ROW($C$2:$C$11)^0)&gt;0))</f>
        <v>7</v>
      </c>
      <c r="E51" s="60">
        <f>D51/10</f>
        <v>0.7</v>
      </c>
      <c r="F51" s="59">
        <f>SUM(BG2:BG33)</f>
        <v>23</v>
      </c>
      <c r="G51" s="60">
        <f>F51/32</f>
        <v>0.71875</v>
      </c>
      <c r="H51" s="59">
        <f>SUM(BH2:BH33)</f>
        <v>4</v>
      </c>
      <c r="I51" s="82" cm="1">
        <f t="array" ref="I51">_xlfn.LET(_xlpm.p,BE$2:BE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14</v>
      </c>
      <c r="J51" s="83" cm="1">
        <f t="array" ref="J51">_xlfn.LET(_xlpm.p,BE$2:BE$6,_xlpm.a,$C$2:$C$6,_xlpm.M,--((ISNUMBER(SEARCH(_xlpm.p,TRANSPOSE(_xlpm.a)))+ISNUMBER(SEARCH(TRANSPOSE(_xlpm.a),_xlpm.p)))&gt;0)*(_xlpm.p&lt;&gt;""),SUMPRODUCT(--(MMULT(_xlpm.M,_xlfn.SEQUENCE(5,1,1,0))&gt;0)))</f>
        <v>4</v>
      </c>
      <c r="K51" s="84" cm="1">
        <f t="array" ref="K51">_xlfn.LET(_xlpm.p,BE$2:BE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4.5217391304347823</v>
      </c>
      <c r="L51" s="82" cm="1">
        <f t="array" ref="L51">SUMPRODUCT((BF$2:BF$33=1)*($EK$2:$EK$33&lt;=2))</f>
        <v>0</v>
      </c>
    </row>
    <row r="52" spans="1:12">
      <c r="A52" s="62" t="s">
        <v>683</v>
      </c>
      <c r="B52" s="57">
        <f>SUM(BJ2:BJ33)</f>
        <v>2</v>
      </c>
      <c r="C52" s="58">
        <f>B52/32</f>
        <v>6.25E-2</v>
      </c>
      <c r="D52" s="57" cm="1">
        <f t="array" ref="D52">SUMPRODUCT(--(MMULT(--((ISNUMBER(SEARCH(BI2:BI11,TRANSPOSE($C$2:$C$11)))+ISNUMBER(SEARCH(TRANSPOSE($C$2:$C$11),BI2:BI11)))&gt;0),ROW($C$2:$C$11)^0)&gt;0))</f>
        <v>9</v>
      </c>
      <c r="E52" s="58">
        <f>D52/10</f>
        <v>0.9</v>
      </c>
      <c r="F52" s="57">
        <f>SUM(BK2:BK33)</f>
        <v>27</v>
      </c>
      <c r="G52" s="58">
        <f>F52/32</f>
        <v>0.84375</v>
      </c>
      <c r="H52" s="57">
        <f>SUM(BL2:BL33)</f>
        <v>2</v>
      </c>
      <c r="I52" s="82" cm="1">
        <f t="array" ref="I52">_xlfn.LET(_xlpm.p,BI$2:BI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20</v>
      </c>
      <c r="J52" s="83" cm="1">
        <f t="array" ref="J52">_xlfn.LET(_xlpm.p,BI$2:BI$6,_xlpm.a,$C$2:$C$6,_xlpm.M,--((ISNUMBER(SEARCH(_xlpm.p,TRANSPOSE(_xlpm.a)))+ISNUMBER(SEARCH(TRANSPOSE(_xlpm.a),_xlpm.p)))&gt;0)*(_xlpm.p&lt;&gt;""),SUMPRODUCT(--(MMULT(_xlpm.M,_xlfn.SEQUENCE(5,1,1,0))&gt;0)))</f>
        <v>4</v>
      </c>
      <c r="K52" s="84" cm="1">
        <f t="array" ref="K52">_xlfn.LET(_xlpm.p,BI$2:BI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4.2222222222222223</v>
      </c>
      <c r="L52" s="82" cm="1">
        <f t="array" ref="L52">SUMPRODUCT((BJ$2:BJ$33=1)*($EK$2:$EK$33&lt;=2))</f>
        <v>0</v>
      </c>
    </row>
    <row r="53" spans="1:12">
      <c r="A53" s="61" t="s">
        <v>614</v>
      </c>
      <c r="B53" s="59">
        <f>SUM(BN2:BN33)</f>
        <v>5</v>
      </c>
      <c r="C53" s="60">
        <f>B53/32</f>
        <v>0.15625</v>
      </c>
      <c r="D53" s="59" cm="1">
        <f t="array" ref="D53">SUMPRODUCT(--(MMULT(--((ISNUMBER(SEARCH(BM2:BM11,TRANSPOSE($C$2:$C$11)))+ISNUMBER(SEARCH(TRANSPOSE($C$2:$C$11),BM2:BM11)))&gt;0),ROW($C$2:$C$11)^0)&gt;0))</f>
        <v>7</v>
      </c>
      <c r="E53" s="60">
        <f>D53/10</f>
        <v>0.7</v>
      </c>
      <c r="F53" s="59">
        <f>SUM(BO2:BO33)</f>
        <v>27</v>
      </c>
      <c r="G53" s="60">
        <f>F53/32</f>
        <v>0.84375</v>
      </c>
      <c r="H53" s="59">
        <f>SUM(BP2:BP33)</f>
        <v>6</v>
      </c>
      <c r="I53" s="82" cm="1">
        <f t="array" ref="I53">_xlfn.LET(_xlpm.p,BM$2:BM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16</v>
      </c>
      <c r="J53" s="83" cm="1">
        <f t="array" ref="J53">_xlfn.LET(_xlpm.p,BM$2:BM$6,_xlpm.a,$C$2:$C$6,_xlpm.M,--((ISNUMBER(SEARCH(_xlpm.p,TRANSPOSE(_xlpm.a)))+ISNUMBER(SEARCH(TRANSPOSE(_xlpm.a),_xlpm.p)))&gt;0)*(_xlpm.p&lt;&gt;""),SUMPRODUCT(--(MMULT(_xlpm.M,_xlfn.SEQUENCE(5,1,1,0))&gt;0)))</f>
        <v>4</v>
      </c>
      <c r="K53" s="84" cm="1">
        <f t="array" ref="K53">_xlfn.LET(_xlpm.p,BM$2:BM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4.1481481481481479</v>
      </c>
      <c r="L53" s="82" cm="1">
        <f t="array" ref="L53">SUMPRODUCT((BN$2:BN$33=1)*($EK$2:$EK$33&lt;=2))</f>
        <v>0</v>
      </c>
    </row>
    <row r="54" spans="1:12">
      <c r="A54" s="62" t="s">
        <v>615</v>
      </c>
      <c r="B54" s="57">
        <f>SUM(BR2:BR33)</f>
        <v>7</v>
      </c>
      <c r="C54" s="58">
        <f>B54/32</f>
        <v>0.21875</v>
      </c>
      <c r="D54" s="57" cm="1">
        <f t="array" ref="D54">SUMPRODUCT(--(MMULT(--((ISNUMBER(SEARCH(BQ2:BQ11,TRANSPOSE($C$2:$C$11)))+ISNUMBER(SEARCH(TRANSPOSE($C$2:$C$11),BQ2:BQ11)))&gt;0),ROW($C$2:$C$11)^0)&gt;0))</f>
        <v>8</v>
      </c>
      <c r="E54" s="58">
        <f>D54/10</f>
        <v>0.8</v>
      </c>
      <c r="F54" s="57">
        <f>SUM(BS2:BS33)</f>
        <v>28</v>
      </c>
      <c r="G54" s="58">
        <f>F54/32</f>
        <v>0.875</v>
      </c>
      <c r="H54" s="57">
        <f>SUM(BT2:BT33)</f>
        <v>7</v>
      </c>
      <c r="I54" s="82" cm="1">
        <f t="array" ref="I54">_xlfn.LET(_xlpm.p,BQ$2:BQ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20</v>
      </c>
      <c r="J54" s="83" cm="1">
        <f t="array" ref="J54">_xlfn.LET(_xlpm.p,BQ$2:BQ$6,_xlpm.a,$C$2:$C$6,_xlpm.M,--((ISNUMBER(SEARCH(_xlpm.p,TRANSPOSE(_xlpm.a)))+ISNUMBER(SEARCH(TRANSPOSE(_xlpm.a),_xlpm.p)))&gt;0)*(_xlpm.p&lt;&gt;""),SUMPRODUCT(--(MMULT(_xlpm.M,_xlfn.SEQUENCE(5,1,1,0))&gt;0)))</f>
        <v>4</v>
      </c>
      <c r="K54" s="84" cm="1">
        <f t="array" ref="K54">_xlfn.LET(_xlpm.p,BQ$2:BQ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3.3571428571428572</v>
      </c>
      <c r="L54" s="82" cm="1">
        <f t="array" ref="L54">SUMPRODUCT((BR$2:BR$33=1)*($EK$2:$EK$33&lt;=2))</f>
        <v>3</v>
      </c>
    </row>
    <row r="55" spans="1:12">
      <c r="A55" s="74" t="s">
        <v>706</v>
      </c>
      <c r="B55" s="74">
        <f>SUM(BV2:BV33)</f>
        <v>5</v>
      </c>
      <c r="C55" s="75">
        <f>B55/32</f>
        <v>0.15625</v>
      </c>
      <c r="D55" s="74" cm="1">
        <f t="array" ref="D55">SUMPRODUCT(--(MMULT(--((ISNUMBER(SEARCH(BU2:BU11,TRANSPOSE($C$2:$C$11)))+ISNUMBER(SEARCH(TRANSPOSE($C$2:$C$11),BU2:BU11)))&gt;0),ROW($C$2:$C$11)^0)&gt;0))</f>
        <v>8</v>
      </c>
      <c r="E55" s="75">
        <f>D55/10</f>
        <v>0.8</v>
      </c>
      <c r="F55" s="74">
        <f>SUM(BW2:BW33)</f>
        <v>27</v>
      </c>
      <c r="G55" s="75">
        <f>F55/32</f>
        <v>0.84375</v>
      </c>
      <c r="H55" s="74">
        <f>SUM(BX2:BX33)</f>
        <v>5</v>
      </c>
      <c r="I55" s="82" cm="1">
        <f t="array" ref="I55">_xlfn.LET(_xlpm.p,BU$2:BU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20</v>
      </c>
      <c r="J55" s="83" cm="1">
        <f t="array" ref="J55">_xlfn.LET(_xlpm.p,BU$2:BU$6,_xlpm.a,$C$2:$C$6,_xlpm.M,--((ISNUMBER(SEARCH(_xlpm.p,TRANSPOSE(_xlpm.a)))+ISNUMBER(SEARCH(TRANSPOSE(_xlpm.a),_xlpm.p)))&gt;0)*(_xlpm.p&lt;&gt;""),SUMPRODUCT(--(MMULT(_xlpm.M,_xlfn.SEQUENCE(5,1,1,0))&gt;0)))</f>
        <v>4</v>
      </c>
      <c r="K55" s="84" cm="1">
        <f t="array" ref="K55">_xlfn.LET(_xlpm.p,BU$2:BU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3.2222222222222223</v>
      </c>
      <c r="L55" s="82" cm="1">
        <f t="array" ref="L55">SUMPRODUCT((BV$2:BV$33=1)*($EK$2:$EK$33&lt;=2))</f>
        <v>0</v>
      </c>
    </row>
    <row r="56" spans="1:12">
      <c r="A56" s="50" t="s">
        <v>707</v>
      </c>
      <c r="B56" s="50">
        <f>SUM(CD2:CD33)</f>
        <v>4</v>
      </c>
      <c r="C56" s="51">
        <f>B56/32</f>
        <v>0.125</v>
      </c>
      <c r="D56" s="50" cm="1">
        <f t="array" ref="D56">SUMPRODUCT(--(MMULT(--((ISNUMBER(SEARCH(CC2:CC11,TRANSPOSE($C$2:$C$11)))+ISNUMBER(SEARCH(TRANSPOSE($C$2:$C$11),CC2:CC11)))&gt;0),ROW($C$2:$C$11)^0)&gt;0))</f>
        <v>8</v>
      </c>
      <c r="E56" s="51">
        <f>D56/10</f>
        <v>0.8</v>
      </c>
      <c r="F56" s="50">
        <f>SUM(CE2:CE33)</f>
        <v>26</v>
      </c>
      <c r="G56" s="51">
        <f>F56/32</f>
        <v>0.8125</v>
      </c>
      <c r="H56" s="50">
        <f>SUM(CF2:CF33)</f>
        <v>5</v>
      </c>
      <c r="I56" s="82" cm="1">
        <f t="array" ref="I56">_xlfn.LET(_xlpm.p,CC$2:CC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19</v>
      </c>
      <c r="J56" s="83" cm="1">
        <f t="array" ref="J56">_xlfn.LET(_xlpm.p,CC$2:CC$6,_xlpm.a,$C$2:$C$6,_xlpm.M,--((ISNUMBER(SEARCH(_xlpm.p,TRANSPOSE(_xlpm.a)))+ISNUMBER(SEARCH(TRANSPOSE(_xlpm.a),_xlpm.p)))&gt;0)*(_xlpm.p&lt;&gt;""),SUMPRODUCT(--(MMULT(_xlpm.M,_xlfn.SEQUENCE(5,1,1,0))&gt;0)))</f>
        <v>4</v>
      </c>
      <c r="K56" s="84" cm="1">
        <f t="array" ref="K56">_xlfn.LET(_xlpm.p,CC$2:CC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4.0769230769230766</v>
      </c>
      <c r="L56" s="82" cm="1">
        <f t="array" ref="L56">SUMPRODUCT((CD$2:CD$33=1)*($EK$2:$EK$33&lt;=2))</f>
        <v>0</v>
      </c>
    </row>
    <row r="57" spans="1:12">
      <c r="A57" t="s">
        <v>730</v>
      </c>
      <c r="B57">
        <f>SUM(CH2:CH33)</f>
        <v>1</v>
      </c>
      <c r="C57" s="18">
        <f>B57/32</f>
        <v>3.125E-2</v>
      </c>
      <c r="D57" cm="1">
        <f t="array" ref="D57">SUMPRODUCT(--(MMULT(--((ISNUMBER(SEARCH(CG2:CG11,TRANSPOSE($C$2:$C$11)))+ISNUMBER(SEARCH(TRANSPOSE($C$2:$C$11),CG2:CG11)))&gt;0),ROW($C$2:$C$11)^0)&gt;0))</f>
        <v>7</v>
      </c>
      <c r="E57" s="18">
        <f>D57/10</f>
        <v>0.7</v>
      </c>
      <c r="F57">
        <f>SUM(CI2:CI33)</f>
        <v>26</v>
      </c>
      <c r="G57" s="18">
        <f>F57/32</f>
        <v>0.8125</v>
      </c>
      <c r="H57">
        <f>SUM(CJ2:CJ33)</f>
        <v>1</v>
      </c>
      <c r="I57" s="82" cm="1">
        <f t="array" ref="I57">_xlfn.LET(_xlpm.p,CG$2:CG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17</v>
      </c>
      <c r="J57" s="83" cm="1">
        <f t="array" ref="J57">_xlfn.LET(_xlpm.p,CG$2:CG$6,_xlpm.a,$C$2:$C$6,_xlpm.M,--((ISNUMBER(SEARCH(_xlpm.p,TRANSPOSE(_xlpm.a)))+ISNUMBER(SEARCH(TRANSPOSE(_xlpm.a),_xlpm.p)))&gt;0)*(_xlpm.p&lt;&gt;""),SUMPRODUCT(--(MMULT(_xlpm.M,_xlfn.SEQUENCE(5,1,1,0))&gt;0)))</f>
        <v>4</v>
      </c>
      <c r="K57" s="84" cm="1">
        <f t="array" ref="K57">_xlfn.LET(_xlpm.p,CG$2:CG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4.7307692307692308</v>
      </c>
      <c r="L57" s="82" cm="1">
        <f t="array" ref="L57">SUMPRODUCT((CH$2:CH$33=1)*($EK$2:$EK$33&lt;=2))</f>
        <v>0</v>
      </c>
    </row>
    <row r="58" spans="1:12">
      <c r="A58" s="50" t="s">
        <v>742</v>
      </c>
      <c r="B58" s="50">
        <f>SUM(CL2:CL33)</f>
        <v>3</v>
      </c>
      <c r="C58" s="51">
        <f>B58/32</f>
        <v>9.375E-2</v>
      </c>
      <c r="D58" s="50" cm="1">
        <f t="array" ref="D58">SUMPRODUCT(--(MMULT(--((ISNUMBER(SEARCH(CK2:CK11,TRANSPOSE($C$2:$C$11)))+ISNUMBER(SEARCH(TRANSPOSE($C$2:$C$11),CK2:CK11)))&gt;0),ROW($C$2:$C$11)^0)&gt;0))</f>
        <v>8</v>
      </c>
      <c r="E58" s="51">
        <f>D58/10</f>
        <v>0.8</v>
      </c>
      <c r="F58" s="50">
        <f>SUM(CM2:CM33)</f>
        <v>24</v>
      </c>
      <c r="G58" s="51">
        <f>F58/32</f>
        <v>0.75</v>
      </c>
      <c r="H58" s="50">
        <f>SUM(CN2:CN33)</f>
        <v>3</v>
      </c>
      <c r="I58" s="82" cm="1">
        <f t="array" ref="I58">_xlfn.LET(_xlpm.p,CK$2:CK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15</v>
      </c>
      <c r="J58" s="83" cm="1">
        <f t="array" ref="J58">_xlfn.LET(_xlpm.p,CK$2:CK$6,_xlpm.a,$C$2:$C$6,_xlpm.M,--((ISNUMBER(SEARCH(_xlpm.p,TRANSPOSE(_xlpm.a)))+ISNUMBER(SEARCH(TRANSPOSE(_xlpm.a),_xlpm.p)))&gt;0)*(_xlpm.p&lt;&gt;""),SUMPRODUCT(--(MMULT(_xlpm.M,_xlfn.SEQUENCE(5,1,1,0))&gt;0)))</f>
        <v>4</v>
      </c>
      <c r="K58" s="84" cm="1">
        <f t="array" ref="K58">_xlfn.LET(_xlpm.p,CK$2:CK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4.791666666666667</v>
      </c>
      <c r="L58" s="82" cm="1">
        <f t="array" ref="L58">SUMPRODUCT((CL$2:CL$33=1)*($EK$2:$EK$33&lt;=2))</f>
        <v>0</v>
      </c>
    </row>
    <row r="59" spans="1:12">
      <c r="A59" t="s">
        <v>738</v>
      </c>
      <c r="B59">
        <f>SUM(CP2:CP33)</f>
        <v>0</v>
      </c>
      <c r="C59" s="18">
        <f>B59/32</f>
        <v>0</v>
      </c>
      <c r="D59" cm="1">
        <f t="array" ref="D59">SUMPRODUCT(--(MMULT(--((ISNUMBER(SEARCH(CO2:CO11,TRANSPOSE($C$2:$C$11)))+ISNUMBER(SEARCH(TRANSPOSE($C$2:$C$11),CO2:CO11)))&gt;0),ROW($C$2:$C$11)^0)&gt;0))</f>
        <v>2</v>
      </c>
      <c r="E59" s="18">
        <f>D59/10</f>
        <v>0.2</v>
      </c>
      <c r="F59">
        <f>SUM(CQ2:CQ33)</f>
        <v>17</v>
      </c>
      <c r="G59" s="18">
        <f>F59/32</f>
        <v>0.53125</v>
      </c>
      <c r="H59">
        <f>SUM(CR2:CR33)</f>
        <v>1</v>
      </c>
      <c r="I59" s="82" cm="1">
        <f t="array" ref="I59">_xlfn.LET(_xlpm.p,CO$2:CO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4</v>
      </c>
      <c r="J59" s="83" cm="1">
        <f t="array" ref="J59">_xlfn.LET(_xlpm.p,CO$2:CO$6,_xlpm.a,$C$2:$C$6,_xlpm.M,--((ISNUMBER(SEARCH(_xlpm.p,TRANSPOSE(_xlpm.a)))+ISNUMBER(SEARCH(TRANSPOSE(_xlpm.a),_xlpm.p)))&gt;0)*(_xlpm.p&lt;&gt;""),SUMPRODUCT(--(MMULT(_xlpm.M,_xlfn.SEQUENCE(5,1,1,0))&gt;0)))</f>
        <v>1</v>
      </c>
      <c r="K59" s="84" cm="1">
        <f t="array" ref="K59">_xlfn.LET(_xlpm.p,CO$2:CO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10.235294117647058</v>
      </c>
      <c r="L59" s="82" cm="1">
        <f t="array" ref="L59">SUMPRODUCT((CP$2:CP$33=1)*($EK$2:$EK$33&lt;=2))</f>
        <v>0</v>
      </c>
    </row>
    <row r="60" spans="1:12">
      <c r="A60" s="28" t="s">
        <v>770</v>
      </c>
      <c r="B60" s="28">
        <f>SUM(CT2:CT33)</f>
        <v>5</v>
      </c>
      <c r="C60" s="52">
        <f>B60/32</f>
        <v>0.15625</v>
      </c>
      <c r="D60" s="28" cm="1">
        <f t="array" ref="D60">SUMPRODUCT(--(MMULT(--((ISNUMBER(SEARCH(CS2:CS11,TRANSPOSE($C$2:$C$11)))+ISNUMBER(SEARCH(TRANSPOSE($C$2:$C$11),CS2:CS11)))&gt;0),ROW($C$2:$C$11)^0)&gt;0))</f>
        <v>8</v>
      </c>
      <c r="E60" s="52">
        <f>D60/10</f>
        <v>0.8</v>
      </c>
      <c r="F60" s="28">
        <f>SUM(CU2:CU33)</f>
        <v>25</v>
      </c>
      <c r="G60" s="52">
        <f>F60/32</f>
        <v>0.78125</v>
      </c>
      <c r="H60" s="28">
        <f>SUM(CV2:CV33)</f>
        <v>5</v>
      </c>
      <c r="I60" s="82" cm="1">
        <f t="array" ref="I60">_xlfn.LET(_xlpm.p,CS$2:CS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17</v>
      </c>
      <c r="J60" s="83" cm="1">
        <f t="array" ref="J60">_xlfn.LET(_xlpm.p,CS$2:CS$6,_xlpm.a,$C$2:$C$6,_xlpm.M,--((ISNUMBER(SEARCH(_xlpm.p,TRANSPOSE(_xlpm.a)))+ISNUMBER(SEARCH(TRANSPOSE(_xlpm.a),_xlpm.p)))&gt;0)*(_xlpm.p&lt;&gt;""),SUMPRODUCT(--(MMULT(_xlpm.M,_xlfn.SEQUENCE(5,1,1,0))&gt;0)))</f>
        <v>3</v>
      </c>
      <c r="K60" s="84" cm="1">
        <f t="array" ref="K60">_xlfn.LET(_xlpm.p,CS$2:CS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4.88</v>
      </c>
      <c r="L60" s="82" cm="1">
        <f t="array" ref="L60">SUMPRODUCT((CT$2:CT$33=1)*($EK$2:$EK$33&lt;=2))</f>
        <v>2</v>
      </c>
    </row>
    <row r="61" spans="1:12">
      <c r="A61" s="50" t="s">
        <v>771</v>
      </c>
      <c r="B61" s="50">
        <f>SUM(CX2:CX33)</f>
        <v>7</v>
      </c>
      <c r="C61" s="51">
        <f>B61/32</f>
        <v>0.21875</v>
      </c>
      <c r="D61" s="50" cm="1">
        <f t="array" ref="D61">SUMPRODUCT(--(MMULT(--((ISNUMBER(SEARCH(CW2:CW11,TRANSPOSE($C$2:$C$11)))+ISNUMBER(SEARCH(TRANSPOSE($C$2:$C$11),CW2:CW11)))&gt;0),ROW($C$2:$C$11)^0)&gt;0))</f>
        <v>8</v>
      </c>
      <c r="E61" s="51">
        <f>D61/10</f>
        <v>0.8</v>
      </c>
      <c r="F61" s="50">
        <f>SUM(CY2:CY33)</f>
        <v>24</v>
      </c>
      <c r="G61" s="51">
        <f>F61/32</f>
        <v>0.75</v>
      </c>
      <c r="H61" s="50">
        <f>SUM(CZ2:CZ33)</f>
        <v>7</v>
      </c>
      <c r="I61" s="82" cm="1">
        <f t="array" ref="I61">_xlfn.LET(_xlpm.p,DU$2:DU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18</v>
      </c>
      <c r="J61" s="83" cm="1">
        <f t="array" ref="J61">_xlfn.LET(_xlpm.p,DU$2:DU$6,_xlpm.a,$C$2:$C$6,_xlpm.M,--((ISNUMBER(SEARCH(_xlpm.p,TRANSPOSE(_xlpm.a)))+ISNUMBER(SEARCH(TRANSPOSE(_xlpm.a),_xlpm.p)))&gt;0)*(_xlpm.p&lt;&gt;""),SUMPRODUCT(--(MMULT(_xlpm.M,_xlfn.SEQUENCE(5,1,1,0))&gt;0)))</f>
        <v>4</v>
      </c>
      <c r="K61" s="84" cm="1">
        <f t="array" ref="K61">_xlfn.LET(_xlpm.p,DU$2:DU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4.8620689655172411</v>
      </c>
      <c r="L61" s="82" cm="1">
        <f t="array" ref="L61">SUMPRODUCT((DV$2:DV$33=1)*($EK$2:$EK$33&lt;=2))</f>
        <v>0</v>
      </c>
    </row>
    <row r="62" spans="1:12">
      <c r="A62" s="28" t="s">
        <v>772</v>
      </c>
      <c r="B62" s="28">
        <f>SUM(DB2:DB33)</f>
        <v>3</v>
      </c>
      <c r="C62" s="52">
        <f>B62/32</f>
        <v>9.375E-2</v>
      </c>
      <c r="D62" s="28" cm="1">
        <f t="array" ref="D62">SUMPRODUCT(--(MMULT(--((ISNUMBER(SEARCH(DA2:DA11,TRANSPOSE($C$2:$C$11)))+ISNUMBER(SEARCH(TRANSPOSE($C$2:$C$11),DA2:DA11)))&gt;0),ROW($C$2:$C$11)^0)&gt;0))</f>
        <v>7</v>
      </c>
      <c r="E62" s="52">
        <f>D62/10</f>
        <v>0.7</v>
      </c>
      <c r="F62" s="28">
        <f>SUM(DC2:DC33)</f>
        <v>26</v>
      </c>
      <c r="G62" s="52">
        <f>F62/32</f>
        <v>0.8125</v>
      </c>
      <c r="H62" s="28">
        <f>SUM(DD2:DD33)</f>
        <v>3</v>
      </c>
      <c r="I62" s="82" cm="1">
        <f t="array" ref="I62">_xlfn.LET(_xlpm.p,DY$2:DY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16</v>
      </c>
      <c r="J62" s="83" cm="1">
        <f t="array" ref="J62">_xlfn.LET(_xlpm.p,DY$2:DY$6,_xlpm.a,$C$2:$C$6,_xlpm.M,--((ISNUMBER(SEARCH(_xlpm.p,TRANSPOSE(_xlpm.a)))+ISNUMBER(SEARCH(TRANSPOSE(_xlpm.a),_xlpm.p)))&gt;0)*(_xlpm.p&lt;&gt;""),SUMPRODUCT(--(MMULT(_xlpm.M,_xlfn.SEQUENCE(5,1,1,0))&gt;0)))</f>
        <v>3</v>
      </c>
      <c r="K62" s="84" cm="1">
        <f t="array" ref="K62">_xlfn.LET(_xlpm.p,DY$2:DY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4.7037037037037033</v>
      </c>
      <c r="L62" s="82" cm="1">
        <f t="array" ref="L62">SUMPRODUCT((DZ$2:DZ$33=1)*($EK$2:$EK$33&lt;=2))</f>
        <v>0</v>
      </c>
    </row>
    <row r="63" spans="1:12">
      <c r="A63" s="50" t="s">
        <v>773</v>
      </c>
      <c r="B63" s="50">
        <f>SUM(DF2:DF33)</f>
        <v>6</v>
      </c>
      <c r="C63" s="51">
        <f>B63/32</f>
        <v>0.1875</v>
      </c>
      <c r="D63" s="50" cm="1">
        <f t="array" ref="D63">SUMPRODUCT(--(MMULT(--((ISNUMBER(SEARCH(DE2:DE11,TRANSPOSE($C$2:$C$11)))+ISNUMBER(SEARCH(TRANSPOSE($C$2:$C$11),DE2:DE11)))&gt;0),ROW($C$2:$C$11)^0)&gt;0))</f>
        <v>9</v>
      </c>
      <c r="E63" s="51">
        <f>D63/10</f>
        <v>0.9</v>
      </c>
      <c r="F63" s="50">
        <f>SUM(DG2:DG33)</f>
        <v>27</v>
      </c>
      <c r="G63" s="51">
        <f>F63/32</f>
        <v>0.84375</v>
      </c>
      <c r="H63" s="50">
        <f>SUM(DH2:DH33)</f>
        <v>6</v>
      </c>
      <c r="I63" s="82" cm="1">
        <f t="array" ref="I63">_xlfn.LET(_xlpm.p,EC$2:EC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18</v>
      </c>
      <c r="J63" s="83" cm="1">
        <f t="array" ref="J63">_xlfn.LET(_xlpm.p,EC$2:EC$6,_xlpm.a,$C$2:$C$6,_xlpm.M,--((ISNUMBER(SEARCH(_xlpm.p,TRANSPOSE(_xlpm.a)))+ISNUMBER(SEARCH(TRANSPOSE(_xlpm.a),_xlpm.p)))&gt;0)*(_xlpm.p&lt;&gt;""),SUMPRODUCT(--(MMULT(_xlpm.M,_xlfn.SEQUENCE(5,1,1,0))&gt;0)))</f>
        <v>4</v>
      </c>
      <c r="K63" s="84" cm="1">
        <f t="array" ref="K63">_xlfn.LET(_xlpm.p,EC$2:EC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4.6296296296296298</v>
      </c>
      <c r="L63" s="82" cm="1">
        <f t="array" ref="L63">SUMPRODUCT((ED$2:ED$33=1)*($EK$2:$EK$33&lt;=2))</f>
        <v>0</v>
      </c>
    </row>
    <row r="64" spans="1:12">
      <c r="A64" s="28" t="s">
        <v>774</v>
      </c>
      <c r="B64" s="28">
        <f>SUM(DJ2:DJ33)</f>
        <v>6</v>
      </c>
      <c r="C64" s="52">
        <f>B64/32</f>
        <v>0.1875</v>
      </c>
      <c r="D64" s="28" cm="1">
        <f t="array" ref="D64">SUMPRODUCT(--(MMULT(--((ISNUMBER(SEARCH(DI2:DI11,TRANSPOSE($C$2:$C$11)))+ISNUMBER(SEARCH(TRANSPOSE($C$2:$C$11),DI2:DI11)))&gt;0),ROW($C$2:$C$11)^0)&gt;0))</f>
        <v>7</v>
      </c>
      <c r="E64" s="52">
        <f>D64/10</f>
        <v>0.7</v>
      </c>
      <c r="F64" s="28">
        <f>SUM(DK2:DK33)</f>
        <v>29</v>
      </c>
      <c r="G64" s="52">
        <f>F64/32</f>
        <v>0.90625</v>
      </c>
      <c r="H64" s="28">
        <f>SUM(DL2:DL33)</f>
        <v>6</v>
      </c>
      <c r="I64" s="82" cm="1">
        <f t="array" ref="I64">_xlfn.LET(_xlpm.p,EG$2:EG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17</v>
      </c>
      <c r="J64" s="83" cm="1">
        <f t="array" ref="J64">_xlfn.LET(_xlpm.p,EG$2:EG$6,_xlpm.a,$C$2:$C$6,_xlpm.M,--((ISNUMBER(SEARCH(_xlpm.p,TRANSPOSE(_xlpm.a)))+ISNUMBER(SEARCH(TRANSPOSE(_xlpm.a),_xlpm.p)))&gt;0)*(_xlpm.p&lt;&gt;""),SUMPRODUCT(--(MMULT(_xlpm.M,_xlfn.SEQUENCE(5,1,1,0))&gt;0)))</f>
        <v>4</v>
      </c>
      <c r="K64" s="84" cm="1">
        <f t="array" ref="K64">_xlfn.LET(_xlpm.p,EG$2:EG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4.7407407407407405</v>
      </c>
      <c r="L64" s="82" cm="1">
        <f t="array" ref="L64">SUMPRODUCT((EH$2:EH$33=1)*($EK$2:$EK$33&lt;=2))</f>
        <v>0</v>
      </c>
    </row>
    <row r="65" spans="1:12">
      <c r="A65" s="50" t="s">
        <v>775</v>
      </c>
      <c r="B65" s="50">
        <f>SUM(DN2:DN33)</f>
        <v>5</v>
      </c>
      <c r="C65" s="51">
        <f>B65/32</f>
        <v>0.15625</v>
      </c>
      <c r="D65" s="50" cm="1">
        <f t="array" ref="D65">SUMPRODUCT(--(MMULT(--((ISNUMBER(SEARCH(DM2:DM11,TRANSPOSE($C$2:$C$11)))+ISNUMBER(SEARCH(TRANSPOSE($C$2:$C$11),DM2:DM11)))&gt;0),ROW($C$2:$C$11)^0)&gt;0))</f>
        <v>8</v>
      </c>
      <c r="E65" s="51">
        <f>D65/10</f>
        <v>0.8</v>
      </c>
      <c r="F65" s="50">
        <f>SUM(DO2:DO33)</f>
        <v>30</v>
      </c>
      <c r="G65" s="51">
        <f>F65/32</f>
        <v>0.9375</v>
      </c>
      <c r="H65" s="50">
        <f>SUM(DP2:DP33)</f>
        <v>7</v>
      </c>
      <c r="I65" s="82" cm="1">
        <f t="array" ref="I65">_xlfn.LET(_xlpm.p,DM$2:DM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23</v>
      </c>
      <c r="J65" s="83" cm="1">
        <f t="array" ref="J65">_xlfn.LET(_xlpm.p,DM$2:DM$6,_xlpm.a,$C$2:$C$6,_xlpm.M,--((ISNUMBER(SEARCH(_xlpm.p,TRANSPOSE(_xlpm.a)))+ISNUMBER(SEARCH(TRANSPOSE(_xlpm.a),_xlpm.p)))&gt;0)*(_xlpm.p&lt;&gt;""),SUMPRODUCT(--(MMULT(_xlpm.M,_xlfn.SEQUENCE(5,1,1,0))&gt;0)))</f>
        <v>3</v>
      </c>
      <c r="K65" s="84" cm="1">
        <f t="array" ref="K65">_xlfn.LET(_xlpm.p,DM$2:DM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3.9</v>
      </c>
      <c r="L65" s="82" cm="1">
        <f t="array" ref="L65">SUMPRODUCT((DN$2:DN$33=1)*($EK$2:$EK$33&lt;=2))</f>
        <v>0</v>
      </c>
    </row>
    <row r="66" spans="1:12">
      <c r="A66" s="28" t="s">
        <v>776</v>
      </c>
      <c r="B66" s="28">
        <f>SUM(DR2:DR33)</f>
        <v>3</v>
      </c>
      <c r="C66" s="52">
        <f>B66/32</f>
        <v>9.375E-2</v>
      </c>
      <c r="D66" s="28" cm="1">
        <f t="array" ref="D66">SUMPRODUCT(--(MMULT(--((ISNUMBER(SEARCH(DQ2:DQ11,TRANSPOSE($C$2:$C$11)))+ISNUMBER(SEARCH(TRANSPOSE($C$2:$C$11),DQ2:DQ11)))&gt;0),ROW($C$2:$C$11)^0)&gt;0))</f>
        <v>8</v>
      </c>
      <c r="E66" s="52">
        <f>D66/10</f>
        <v>0.8</v>
      </c>
      <c r="F66" s="28">
        <f>SUM(DS2:DS33)</f>
        <v>26</v>
      </c>
      <c r="G66" s="52">
        <f>F66/32</f>
        <v>0.8125</v>
      </c>
      <c r="H66" s="28">
        <f>SUM(DT2:DT33)</f>
        <v>5</v>
      </c>
      <c r="I66" s="82" cm="1">
        <f t="array" ref="I66">_xlfn.LET(_xlpm.p,DQ$2:DQ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17</v>
      </c>
      <c r="J66" s="83" cm="1">
        <f t="array" ref="J66">_xlfn.LET(_xlpm.p,DQ$2:DQ$6,_xlpm.a,$C$2:$C$6,_xlpm.M,--((ISNUMBER(SEARCH(_xlpm.p,TRANSPOSE(_xlpm.a)))+ISNUMBER(SEARCH(TRANSPOSE(_xlpm.a),_xlpm.p)))&gt;0)*(_xlpm.p&lt;&gt;""),SUMPRODUCT(--(MMULT(_xlpm.M,_xlfn.SEQUENCE(5,1,1,0))&gt;0)))</f>
        <v>4</v>
      </c>
      <c r="K66" s="84" cm="1">
        <f t="array" ref="K66">_xlfn.LET(_xlpm.p,DQ$2:DQ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4.4615384615384617</v>
      </c>
      <c r="L66" s="82" cm="1">
        <f t="array" ref="L66">SUMPRODUCT((DR$2:DR$33=1)*($EK$2:$EK$33&lt;=2))</f>
        <v>0</v>
      </c>
    </row>
    <row r="67" spans="1:12">
      <c r="A67" s="20" t="s">
        <v>777</v>
      </c>
      <c r="B67" s="20">
        <f>SUM(CX2:CX33)</f>
        <v>7</v>
      </c>
      <c r="C67" s="79">
        <f>B67/32</f>
        <v>0.21875</v>
      </c>
      <c r="D67" s="20" cm="1">
        <f t="array" ref="D67">SUMPRODUCT(--(COUNTIF(CW2:CW11,C2:C11)&gt;0))</f>
        <v>8</v>
      </c>
      <c r="E67" s="79">
        <f>D67/10</f>
        <v>0.8</v>
      </c>
      <c r="F67" s="20">
        <f>SUM(CY2:CY33)</f>
        <v>24</v>
      </c>
      <c r="G67" s="79">
        <f>F67/32</f>
        <v>0.75</v>
      </c>
      <c r="H67" s="20">
        <f>SUM(CZ2:CZ33)</f>
        <v>7</v>
      </c>
      <c r="I67" s="82" cm="1">
        <f t="array" ref="I67">_xlfn.LET(_xlpm.p,CW$2:CW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18</v>
      </c>
      <c r="J67" s="83" cm="1">
        <f t="array" ref="J67">_xlfn.LET(_xlpm.p,CW$2:CW$6,_xlpm.a,$C$2:$C$6,_xlpm.M,--((ISNUMBER(SEARCH(_xlpm.p,TRANSPOSE(_xlpm.a)))+ISNUMBER(SEARCH(TRANSPOSE(_xlpm.a),_xlpm.p)))&gt;0)*(_xlpm.p&lt;&gt;""),SUMPRODUCT(--(MMULT(_xlpm.M,_xlfn.SEQUENCE(5,1,1,0))&gt;0)))</f>
        <v>4</v>
      </c>
      <c r="K67" s="84" cm="1">
        <f t="array" ref="K67">_xlfn.LET(_xlpm.p,CW$2:CW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3.125</v>
      </c>
      <c r="L67" s="82" cm="1">
        <f t="array" ref="L67">SUMPRODUCT((CX$2:CX$33=1)*($EK$2:$EK$33&lt;=2))</f>
        <v>1</v>
      </c>
    </row>
    <row r="68" spans="1:12">
      <c r="A68" s="28" t="s">
        <v>797</v>
      </c>
      <c r="B68" s="28">
        <f>SUM(DB2:DB33)</f>
        <v>3</v>
      </c>
      <c r="C68" s="52">
        <f>B68/32</f>
        <v>9.375E-2</v>
      </c>
      <c r="D68" s="28" cm="1">
        <f t="array" ref="D68">SUMPRODUCT(--(COUNTIF(DA2:DA11,C2:C11)&gt;0))</f>
        <v>7</v>
      </c>
      <c r="E68" s="52">
        <f>D68/10</f>
        <v>0.7</v>
      </c>
      <c r="F68" s="28">
        <f>SUM(DC2:DC33)</f>
        <v>26</v>
      </c>
      <c r="G68" s="52">
        <f>F68/32</f>
        <v>0.8125</v>
      </c>
      <c r="H68" s="28">
        <f>SUM(DD2:DD33)</f>
        <v>3</v>
      </c>
      <c r="I68" s="82" cm="1">
        <f t="array" ref="I68">_xlfn.LET(_xlpm.p,DA$2:DA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17</v>
      </c>
      <c r="J68" s="83" cm="1">
        <f t="array" ref="J68">_xlfn.LET(_xlpm.p,DA$2:DA$6,_xlpm.a,$C$2:$C$6,_xlpm.M,--((ISNUMBER(SEARCH(_xlpm.p,TRANSPOSE(_xlpm.a)))+ISNUMBER(SEARCH(TRANSPOSE(_xlpm.a),_xlpm.p)))&gt;0)*(_xlpm.p&lt;&gt;""),SUMPRODUCT(--(MMULT(_xlpm.M,_xlfn.SEQUENCE(5,1,1,0))&gt;0)))</f>
        <v>4</v>
      </c>
      <c r="K68" s="84" cm="1">
        <f t="array" ref="K68">_xlfn.LET(_xlpm.p,DA$2:DA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4.5769230769230766</v>
      </c>
      <c r="L68" s="82" cm="1">
        <f t="array" ref="L68">SUMPRODUCT((DB$2:DB$33=1)*($EK$2:$EK$33&lt;=2))</f>
        <v>0</v>
      </c>
    </row>
    <row r="69" spans="1:12">
      <c r="A69" s="20" t="s">
        <v>798</v>
      </c>
      <c r="B69" s="20">
        <f>SUM(DF2:DF33)</f>
        <v>6</v>
      </c>
      <c r="C69" s="79">
        <f>B69/32</f>
        <v>0.1875</v>
      </c>
      <c r="D69" s="20" cm="1">
        <f t="array" ref="D69">SUMPRODUCT(--(COUNTIF(DE2:DE11,C2:C11)&gt;0))</f>
        <v>9</v>
      </c>
      <c r="E69" s="79">
        <f>D69/10</f>
        <v>0.9</v>
      </c>
      <c r="F69" s="20">
        <f>SUM(DG2:DG33)</f>
        <v>27</v>
      </c>
      <c r="G69" s="79">
        <f>F69/32</f>
        <v>0.84375</v>
      </c>
      <c r="H69" s="20">
        <f>SUM(DH2:DH33)</f>
        <v>6</v>
      </c>
      <c r="I69" s="82" cm="1">
        <f t="array" ref="I69">_xlfn.LET(_xlpm.p,DE$2:DE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18</v>
      </c>
      <c r="J69" s="83" cm="1">
        <f t="array" ref="J69">_xlfn.LET(_xlpm.p,DE$2:DE$6,_xlpm.a,$C$2:$C$6,_xlpm.M,--((ISNUMBER(SEARCH(_xlpm.p,TRANSPOSE(_xlpm.a)))+ISNUMBER(SEARCH(TRANSPOSE(_xlpm.a),_xlpm.p)))&gt;0)*(_xlpm.p&lt;&gt;""),SUMPRODUCT(--(MMULT(_xlpm.M,_xlfn.SEQUENCE(5,1,1,0))&gt;0)))</f>
        <v>4</v>
      </c>
      <c r="K69" s="84" cm="1">
        <f t="array" ref="K69">_xlfn.LET(_xlpm.p,DE$2:DE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4.3703703703703702</v>
      </c>
      <c r="L69" s="82" cm="1">
        <f t="array" ref="L69">SUMPRODUCT((DF$2:DF$33=1)*($EK$2:$EK$33&lt;=2))</f>
        <v>2</v>
      </c>
    </row>
    <row r="70" spans="1:12">
      <c r="A70" s="28" t="s">
        <v>799</v>
      </c>
      <c r="B70" s="28">
        <f>SUM(DJ2:DJ33)</f>
        <v>6</v>
      </c>
      <c r="C70" s="52">
        <f>B70/32</f>
        <v>0.1875</v>
      </c>
      <c r="D70" s="28" cm="1">
        <f t="array" ref="D70">SUMPRODUCT(--(COUNTIF(DI2:DI11,C2:C11)&gt;0))</f>
        <v>7</v>
      </c>
      <c r="E70" s="52">
        <f>D70/10</f>
        <v>0.7</v>
      </c>
      <c r="F70" s="28">
        <f>SUM(DK2:DK33)</f>
        <v>29</v>
      </c>
      <c r="G70" s="52">
        <f>F70/32</f>
        <v>0.90625</v>
      </c>
      <c r="H70" s="28">
        <f>SUM(DL2:DL33)</f>
        <v>6</v>
      </c>
      <c r="I70" s="82" cm="1">
        <f t="array" ref="I70">_xlfn.LET(_xlpm.p,DI$2:DI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SUMPRODUCT((_xlpm.hm&gt;0)*(ABS(_xlpm.iv-_xlpm.mJ)&lt;=5)))</f>
        <v>16</v>
      </c>
      <c r="J70" s="83" cm="1">
        <f t="array" ref="J70">_xlfn.LET(_xlpm.p,DI$2:DI$6,_xlpm.a,$C$2:$C$6,_xlpm.M,--((ISNUMBER(SEARCH(_xlpm.p,TRANSPOSE(_xlpm.a)))+ISNUMBER(SEARCH(TRANSPOSE(_xlpm.a),_xlpm.p)))&gt;0)*(_xlpm.p&lt;&gt;""),SUMPRODUCT(--(MMULT(_xlpm.M,_xlfn.SEQUENCE(5,1,1,0))&gt;0)))</f>
        <v>3</v>
      </c>
      <c r="K70" s="84" cm="1">
        <f t="array" ref="K70">_xlfn.LET(_xlpm.p,DI$2:DI$33,_xlpm.a,$C$2:$C$33,_xlpm.n,ROWS(_xlpm.p),_xlpm.iv,_xlfn.SEQUENCE(_xlpm.n),_xlpm.M,--((ISNUMBER(SEARCH(_xlpm.p,TRANSPOSE(_xlpm.a)))+ISNUMBER(SEARCH(TRANSPOSE(_xlpm.a),_xlpm.p)))&gt;0)*(_xlpm.p&lt;&gt;""),_xlpm.mJ,MMULT(_xlpm.M,_xlfn.SEQUENCE(_xlpm.n)),_xlpm.hm,MMULT(_xlpm.M,_xlfn.SEQUENCE(_xlpm.n,1,1,0)),IFERROR(SUMPRODUCT((_xlpm.hm&gt;0)*ABS(_xlpm.iv-_xlpm.mJ))/SUMPRODUCT(--(_xlpm.hm&gt;0)),0))</f>
        <v>4.7586206896551726</v>
      </c>
      <c r="L70" s="82" cm="1">
        <f t="array" ref="L70">SUMPRODUCT((DJ$2:DJ$33=1)*($EK$2:$EK$33&lt;=2))</f>
        <v>0</v>
      </c>
    </row>
  </sheetData>
  <mergeCells count="1">
    <mergeCell ref="A36:L36"/>
  </mergeCells>
  <conditionalFormatting sqref="D2:D33">
    <cfRule type="expression" dxfId="51" priority="1">
      <formula>$K2=1</formula>
    </cfRule>
  </conditionalFormatting>
  <conditionalFormatting sqref="D2:D33">
    <cfRule type="expression" dxfId="50" priority="2">
      <formula>AND($W2=1,$K2=0)</formula>
    </cfRule>
  </conditionalFormatting>
  <conditionalFormatting sqref="D2:D33">
    <cfRule type="expression" dxfId="49" priority="3">
      <formula>AND($Q2=1,$W2=0,$K2=0)</formula>
    </cfRule>
  </conditionalFormatting>
  <conditionalFormatting sqref="E2:E33">
    <cfRule type="expression" dxfId="48" priority="4">
      <formula>$L2=1</formula>
    </cfRule>
  </conditionalFormatting>
  <conditionalFormatting sqref="E2:E33">
    <cfRule type="expression" dxfId="47" priority="5">
      <formula>AND($X2=1,$L2=0)</formula>
    </cfRule>
  </conditionalFormatting>
  <conditionalFormatting sqref="E2:E33">
    <cfRule type="expression" dxfId="46" priority="6">
      <formula>AND($R2=1,$X2=0,$L2=0)</formula>
    </cfRule>
  </conditionalFormatting>
  <conditionalFormatting sqref="F2:F33">
    <cfRule type="expression" dxfId="45" priority="7">
      <formula>$M2=1</formula>
    </cfRule>
  </conditionalFormatting>
  <conditionalFormatting sqref="F2:F33">
    <cfRule type="expression" dxfId="44" priority="8">
      <formula>AND($Y2=1,$M2=0)</formula>
    </cfRule>
  </conditionalFormatting>
  <conditionalFormatting sqref="F2:F33">
    <cfRule type="expression" dxfId="43" priority="9">
      <formula>AND($S2=1,$Y2=0,$M2=0)</formula>
    </cfRule>
  </conditionalFormatting>
  <conditionalFormatting sqref="G2:G33">
    <cfRule type="expression" dxfId="42" priority="10">
      <formula>$N2=1</formula>
    </cfRule>
  </conditionalFormatting>
  <conditionalFormatting sqref="G2:G33">
    <cfRule type="expression" dxfId="41" priority="11">
      <formula>AND($Z2=1,$N2=0)</formula>
    </cfRule>
  </conditionalFormatting>
  <conditionalFormatting sqref="G2:G33">
    <cfRule type="expression" dxfId="40" priority="12">
      <formula>AND($T2=1,$Z2=0,$N2=0)</formula>
    </cfRule>
  </conditionalFormatting>
  <conditionalFormatting sqref="H2:H33">
    <cfRule type="expression" dxfId="39" priority="13">
      <formula>$O2=1</formula>
    </cfRule>
  </conditionalFormatting>
  <conditionalFormatting sqref="H2:H33">
    <cfRule type="expression" dxfId="38" priority="14">
      <formula>AND($AA2=1,$O2=0)</formula>
    </cfRule>
  </conditionalFormatting>
  <conditionalFormatting sqref="H2:H33">
    <cfRule type="expression" dxfId="37" priority="15">
      <formula>AND($U2=1,$AA2=0,$O2=0)</formula>
    </cfRule>
  </conditionalFormatting>
  <conditionalFormatting sqref="I2:I33">
    <cfRule type="expression" dxfId="36" priority="16">
      <formula>$P2=1</formula>
    </cfRule>
  </conditionalFormatting>
  <conditionalFormatting sqref="I2:I33">
    <cfRule type="expression" dxfId="35" priority="17">
      <formula>AND($AB2=1,$P2=0)</formula>
    </cfRule>
  </conditionalFormatting>
  <conditionalFormatting sqref="I2:I33">
    <cfRule type="expression" dxfId="34" priority="18">
      <formula>AND($V2=1,$AB2=0,$P2=0)</formula>
    </cfRule>
  </conditionalFormatting>
  <conditionalFormatting sqref="CC2:CC33">
    <cfRule type="expression" dxfId="27" priority="19">
      <formula>$CD2=1</formula>
    </cfRule>
  </conditionalFormatting>
  <conditionalFormatting sqref="CC2:CC33">
    <cfRule type="expression" dxfId="26" priority="20">
      <formula>AND($CF2=1,$CD2=0)</formula>
    </cfRule>
  </conditionalFormatting>
  <conditionalFormatting sqref="CC2:CC33">
    <cfRule type="expression" dxfId="25" priority="21">
      <formula>AND($CE2=1,$CF2=0)</formula>
    </cfRule>
  </conditionalFormatting>
  <conditionalFormatting sqref="CG2:CG33">
    <cfRule type="expression" dxfId="24" priority="22">
      <formula>$CH2=1</formula>
    </cfRule>
  </conditionalFormatting>
  <conditionalFormatting sqref="CG2:CG33">
    <cfRule type="expression" dxfId="23" priority="23">
      <formula>AND($CJ2=1,$CH2=0)</formula>
    </cfRule>
  </conditionalFormatting>
  <conditionalFormatting sqref="CG2:CG33">
    <cfRule type="expression" dxfId="22" priority="24">
      <formula>AND($CI2=1,$CJ2=0)</formula>
    </cfRule>
  </conditionalFormatting>
  <conditionalFormatting sqref="CK2:CK33">
    <cfRule type="expression" dxfId="21" priority="25">
      <formula>$CL2=1</formula>
    </cfRule>
  </conditionalFormatting>
  <conditionalFormatting sqref="CK2:CK33">
    <cfRule type="expression" dxfId="20" priority="26">
      <formula>AND($CN2=1,$CL2=0)</formula>
    </cfRule>
  </conditionalFormatting>
  <conditionalFormatting sqref="CK2:CK33">
    <cfRule type="expression" dxfId="19" priority="27">
      <formula>AND($CM2=1,$CN2=0)</formula>
    </cfRule>
  </conditionalFormatting>
  <conditionalFormatting sqref="CO2:CO33">
    <cfRule type="expression" dxfId="18" priority="28">
      <formula>$CP2=1</formula>
    </cfRule>
  </conditionalFormatting>
  <conditionalFormatting sqref="CO2:CO33">
    <cfRule type="expression" dxfId="17" priority="29">
      <formula>AND($CR2=1,$CP2=0)</formula>
    </cfRule>
  </conditionalFormatting>
  <conditionalFormatting sqref="CO2:CO33">
    <cfRule type="expression" dxfId="16" priority="30">
      <formula>AND($CQ2=1,$CR2=0)</formula>
    </cfRule>
  </conditionalFormatting>
  <conditionalFormatting sqref="CW2:CW33">
    <cfRule type="expression" dxfId="15" priority="31">
      <formula>CX2=1</formula>
    </cfRule>
  </conditionalFormatting>
  <conditionalFormatting sqref="CW2:CW33">
    <cfRule type="expression" dxfId="14" priority="32">
      <formula>AND(CZ2=1,CX2=0)</formula>
    </cfRule>
  </conditionalFormatting>
  <conditionalFormatting sqref="CW2:CW33">
    <cfRule type="expression" dxfId="13" priority="33">
      <formula>AND(CY2=1,CZ2=0,CX2=0)</formula>
    </cfRule>
  </conditionalFormatting>
  <conditionalFormatting sqref="DA2:DA33">
    <cfRule type="expression" dxfId="12" priority="34">
      <formula>DB2=1</formula>
    </cfRule>
  </conditionalFormatting>
  <conditionalFormatting sqref="DA2:DA33">
    <cfRule type="expression" dxfId="11" priority="35">
      <formula>AND(DD2=1,DB2=0)</formula>
    </cfRule>
  </conditionalFormatting>
  <conditionalFormatting sqref="DA2:DA33">
    <cfRule type="expression" dxfId="10" priority="36">
      <formula>AND(DC2=1,DD2=0,DB2=0)</formula>
    </cfRule>
  </conditionalFormatting>
  <conditionalFormatting sqref="DE2:DE33">
    <cfRule type="expression" dxfId="9" priority="37">
      <formula>DF2=1</formula>
    </cfRule>
  </conditionalFormatting>
  <conditionalFormatting sqref="DE2:DE33">
    <cfRule type="expression" dxfId="8" priority="38">
      <formula>AND(DH2=1,DF2=0)</formula>
    </cfRule>
  </conditionalFormatting>
  <conditionalFormatting sqref="DE2:DE33">
    <cfRule type="expression" dxfId="7" priority="39">
      <formula>AND(DG2=1,DH2=0,DF2=0)</formula>
    </cfRule>
  </conditionalFormatting>
  <conditionalFormatting sqref="DI2:DI33">
    <cfRule type="expression" dxfId="6" priority="40">
      <formula>DJ2=1</formula>
    </cfRule>
  </conditionalFormatting>
  <conditionalFormatting sqref="DI2:DI33">
    <cfRule type="expression" dxfId="5" priority="41">
      <formula>AND(DL2=1,DJ2=0)</formula>
    </cfRule>
  </conditionalFormatting>
  <conditionalFormatting sqref="DI2:DI33">
    <cfRule type="expression" dxfId="4" priority="42">
      <formula>AND(DK2=1,DL2=0,DJ2=0)</formula>
    </cfRule>
  </conditionalFormatting>
  <conditionalFormatting sqref="I38:I70">
    <cfRule type="dataBar" priority="4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{EEF5F102-1654-49E4-AA04-898069448568}</x14:id>
        </ext>
      </extLst>
    </cfRule>
  </conditionalFormatting>
  <conditionalFormatting sqref="J38:J70">
    <cfRule type="dataBar" priority="4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{3D2329BD-C941-4E26-8F06-F53B77AE4D42}</x14:id>
        </ext>
      </extLst>
    </cfRule>
  </conditionalFormatting>
  <conditionalFormatting sqref="K38:K70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:L70">
    <cfRule type="dataBar" priority="46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{BB223225-8FF0-4120-9DEA-852897EE376D}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F5F102-1654-49E4-AA04-898069448568}">
            <x14:dataBar minLength="0" maxLength="100" negativeBarColorSameAsPositive="1" axisPosition="none">
              <x14:cfvo type="min"/>
              <x14:cfvo type="max"/>
            </x14:dataBar>
          </x14:cfRule>
          <xm:sqref>I38:I70</xm:sqref>
        </x14:conditionalFormatting>
        <x14:conditionalFormatting xmlns:xm="http://schemas.microsoft.com/office/excel/2006/main">
          <x14:cfRule type="dataBar" id="{3D2329BD-C941-4E26-8F06-F53B77AE4D42}">
            <x14:dataBar minLength="0" maxLength="100" negativeBarColorSameAsPositive="1" axisPosition="none">
              <x14:cfvo type="min"/>
              <x14:cfvo type="max"/>
            </x14:dataBar>
          </x14:cfRule>
          <xm:sqref>J38:J70</xm:sqref>
        </x14:conditionalFormatting>
        <x14:conditionalFormatting xmlns:xm="http://schemas.microsoft.com/office/excel/2006/main">
          <x14:cfRule type="dataBar" id="{BB223225-8FF0-4120-9DEA-852897EE376D}">
            <x14:dataBar minLength="0" maxLength="100" negativeBarColorSameAsPositive="1" axisPosition="none">
              <x14:cfvo type="min"/>
              <x14:cfvo type="max"/>
            </x14:dataBar>
          </x14:cfRule>
          <xm:sqref>L38:L70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1D9D-72E1-4EC4-9D73-C06F85F3DDD7}">
  <dimension ref="A1:H33"/>
  <sheetViews>
    <sheetView topLeftCell="D1" workbookViewId="0">
      <pane ySplit="1" topLeftCell="A2" activePane="bottomLeft" state="frozen"/>
      <selection activeCell="B1" sqref="B1"/>
      <selection pane="bottomLeft" activeCell="J2" sqref="J2"/>
    </sheetView>
  </sheetViews>
  <sheetFormatPr defaultRowHeight="14.5"/>
  <cols>
    <col min="1" max="1" width="9.08984375" customWidth="1"/>
    <col min="2" max="2" width="10" customWidth="1"/>
    <col min="3" max="3" width="10.90625" customWidth="1"/>
    <col min="4" max="4" width="32.7265625" customWidth="1"/>
    <col min="5" max="5" width="12.7265625" customWidth="1"/>
    <col min="6" max="6" width="23.6328125" customWidth="1"/>
    <col min="7" max="7" width="10" customWidth="1"/>
    <col min="8" max="8" width="18.1796875" customWidth="1"/>
  </cols>
  <sheetData>
    <row r="1" spans="1:8">
      <c r="A1" t="s">
        <v>445</v>
      </c>
      <c r="B1" t="s">
        <v>444</v>
      </c>
      <c r="C1" t="s">
        <v>446</v>
      </c>
      <c r="D1" t="s">
        <v>684</v>
      </c>
      <c r="E1" t="s">
        <v>685</v>
      </c>
      <c r="F1" t="s">
        <v>686</v>
      </c>
      <c r="G1" t="s">
        <v>687</v>
      </c>
      <c r="H1" t="s">
        <v>688</v>
      </c>
    </row>
    <row r="2" spans="1:8">
      <c r="A2" s="1">
        <v>1</v>
      </c>
      <c r="B2" s="1">
        <v>1</v>
      </c>
      <c r="C2" s="1" t="s">
        <v>7</v>
      </c>
      <c r="D2" t="s">
        <v>8</v>
      </c>
      <c r="E2" s="1" t="s">
        <v>9</v>
      </c>
      <c r="F2" t="s">
        <v>10</v>
      </c>
      <c r="G2" s="1">
        <v>1</v>
      </c>
      <c r="H2" s="1"/>
    </row>
    <row r="3" spans="1:8">
      <c r="A3" s="1">
        <v>2</v>
      </c>
      <c r="B3" s="1">
        <v>1</v>
      </c>
      <c r="C3" s="1" t="s">
        <v>11</v>
      </c>
      <c r="D3" t="s">
        <v>12</v>
      </c>
      <c r="E3" s="1" t="s">
        <v>13</v>
      </c>
      <c r="F3" t="s">
        <v>14</v>
      </c>
      <c r="G3" s="1">
        <v>5</v>
      </c>
      <c r="H3" s="1"/>
    </row>
    <row r="4" spans="1:8">
      <c r="A4" s="1">
        <v>3</v>
      </c>
      <c r="B4" s="1">
        <v>1</v>
      </c>
      <c r="C4" s="1" t="s">
        <v>34</v>
      </c>
      <c r="D4" t="s">
        <v>16</v>
      </c>
      <c r="E4" s="1" t="s">
        <v>17</v>
      </c>
      <c r="F4" t="s">
        <v>18</v>
      </c>
      <c r="G4" s="1">
        <v>3</v>
      </c>
      <c r="H4" s="1" t="s">
        <v>689</v>
      </c>
    </row>
    <row r="5" spans="1:8">
      <c r="A5" s="1">
        <v>4</v>
      </c>
      <c r="B5" s="1">
        <v>1</v>
      </c>
      <c r="C5" s="1" t="s">
        <v>19</v>
      </c>
      <c r="D5" t="s">
        <v>20</v>
      </c>
      <c r="E5" s="1" t="s">
        <v>21</v>
      </c>
      <c r="F5" t="s">
        <v>22</v>
      </c>
      <c r="G5" s="1">
        <v>2</v>
      </c>
      <c r="H5" s="1"/>
    </row>
    <row r="6" spans="1:8">
      <c r="A6" s="1">
        <v>5</v>
      </c>
      <c r="B6" s="1">
        <v>1</v>
      </c>
      <c r="C6" s="1" t="s">
        <v>23</v>
      </c>
      <c r="D6" t="s">
        <v>24</v>
      </c>
      <c r="E6" s="1" t="s">
        <v>17</v>
      </c>
      <c r="F6" t="s">
        <v>18</v>
      </c>
      <c r="G6" s="1">
        <v>4</v>
      </c>
      <c r="H6" s="1"/>
    </row>
    <row r="7" spans="1:8">
      <c r="A7" s="1">
        <v>6</v>
      </c>
      <c r="B7" s="1">
        <v>1</v>
      </c>
      <c r="C7" s="1" t="s">
        <v>25</v>
      </c>
      <c r="D7" t="s">
        <v>26</v>
      </c>
      <c r="E7" s="1" t="s">
        <v>27</v>
      </c>
      <c r="F7" t="s">
        <v>28</v>
      </c>
      <c r="G7" s="1">
        <v>9</v>
      </c>
      <c r="H7" s="1"/>
    </row>
    <row r="8" spans="1:8">
      <c r="A8" s="1">
        <v>7</v>
      </c>
      <c r="B8" s="1">
        <v>1</v>
      </c>
      <c r="C8" s="1" t="s">
        <v>29</v>
      </c>
      <c r="D8" t="s">
        <v>30</v>
      </c>
      <c r="E8" s="1" t="s">
        <v>31</v>
      </c>
      <c r="F8" t="s">
        <v>18</v>
      </c>
      <c r="G8" s="1">
        <v>8</v>
      </c>
      <c r="H8" s="1"/>
    </row>
    <row r="9" spans="1:8">
      <c r="A9" s="1">
        <v>8</v>
      </c>
      <c r="B9" s="1">
        <v>1</v>
      </c>
      <c r="C9" s="1" t="s">
        <v>32</v>
      </c>
      <c r="D9" t="s">
        <v>33</v>
      </c>
      <c r="E9" s="1" t="s">
        <v>13</v>
      </c>
      <c r="F9" t="s">
        <v>28</v>
      </c>
      <c r="G9" s="1">
        <v>16</v>
      </c>
      <c r="H9" s="1"/>
    </row>
    <row r="10" spans="1:8">
      <c r="A10" s="1">
        <v>9</v>
      </c>
      <c r="B10" s="1">
        <v>1</v>
      </c>
      <c r="C10" s="1" t="s">
        <v>15</v>
      </c>
      <c r="D10" t="s">
        <v>35</v>
      </c>
      <c r="E10" s="1" t="s">
        <v>36</v>
      </c>
      <c r="F10" t="s">
        <v>37</v>
      </c>
      <c r="G10" s="1">
        <v>14</v>
      </c>
      <c r="H10" s="1" t="s">
        <v>689</v>
      </c>
    </row>
    <row r="11" spans="1:8">
      <c r="A11" s="1">
        <v>10</v>
      </c>
      <c r="B11" s="1">
        <v>1</v>
      </c>
      <c r="C11" s="1" t="s">
        <v>23</v>
      </c>
      <c r="D11" t="s">
        <v>38</v>
      </c>
      <c r="E11" s="1" t="s">
        <v>39</v>
      </c>
      <c r="F11" t="s">
        <v>18</v>
      </c>
      <c r="G11" s="1">
        <v>6</v>
      </c>
      <c r="H11" s="1"/>
    </row>
    <row r="12" spans="1:8">
      <c r="A12" s="1">
        <v>11</v>
      </c>
      <c r="B12" s="1">
        <v>1</v>
      </c>
      <c r="C12" s="1" t="s">
        <v>40</v>
      </c>
      <c r="D12" t="s">
        <v>41</v>
      </c>
      <c r="E12" s="1" t="s">
        <v>31</v>
      </c>
      <c r="F12" t="s">
        <v>42</v>
      </c>
      <c r="G12" s="1">
        <v>7</v>
      </c>
      <c r="H12" s="1"/>
    </row>
    <row r="13" spans="1:8">
      <c r="A13" s="1">
        <v>12</v>
      </c>
      <c r="B13" s="1">
        <v>1</v>
      </c>
      <c r="C13" s="1" t="s">
        <v>43</v>
      </c>
      <c r="D13" t="s">
        <v>44</v>
      </c>
      <c r="E13" s="1" t="s">
        <v>27</v>
      </c>
      <c r="F13" t="s">
        <v>45</v>
      </c>
      <c r="G13" s="1">
        <v>10</v>
      </c>
      <c r="H13" s="1"/>
    </row>
    <row r="14" spans="1:8">
      <c r="A14" s="1">
        <v>13</v>
      </c>
      <c r="B14" s="1">
        <v>1</v>
      </c>
      <c r="C14" s="1" t="s">
        <v>46</v>
      </c>
      <c r="D14" t="s">
        <v>47</v>
      </c>
      <c r="E14" s="1" t="s">
        <v>31</v>
      </c>
      <c r="F14" t="s">
        <v>48</v>
      </c>
      <c r="G14" s="1">
        <v>11</v>
      </c>
      <c r="H14" s="1"/>
    </row>
    <row r="15" spans="1:8">
      <c r="A15" s="1">
        <v>14</v>
      </c>
      <c r="B15" s="1">
        <v>1</v>
      </c>
      <c r="C15" s="1" t="s">
        <v>49</v>
      </c>
      <c r="D15" t="s">
        <v>50</v>
      </c>
      <c r="E15" s="1" t="s">
        <v>51</v>
      </c>
      <c r="F15" t="s">
        <v>52</v>
      </c>
      <c r="G15" s="1">
        <v>12</v>
      </c>
      <c r="H15" s="1"/>
    </row>
    <row r="16" spans="1:8">
      <c r="A16" s="1">
        <v>15</v>
      </c>
      <c r="B16" s="1">
        <v>1</v>
      </c>
      <c r="C16" s="1" t="s">
        <v>53</v>
      </c>
      <c r="D16" t="s">
        <v>54</v>
      </c>
      <c r="E16" s="1" t="s">
        <v>55</v>
      </c>
      <c r="F16" t="s">
        <v>56</v>
      </c>
      <c r="G16" s="1">
        <v>15</v>
      </c>
      <c r="H16" s="1"/>
    </row>
    <row r="17" spans="1:8">
      <c r="A17" s="1">
        <v>16</v>
      </c>
      <c r="B17" s="1">
        <v>1</v>
      </c>
      <c r="C17" s="1" t="s">
        <v>78</v>
      </c>
      <c r="D17" t="s">
        <v>57</v>
      </c>
      <c r="E17" s="1" t="s">
        <v>27</v>
      </c>
      <c r="F17" t="s">
        <v>58</v>
      </c>
      <c r="G17" s="1">
        <v>13</v>
      </c>
      <c r="H17" s="1" t="s">
        <v>689</v>
      </c>
    </row>
    <row r="18" spans="1:8">
      <c r="A18" s="1">
        <v>17</v>
      </c>
      <c r="B18" s="1">
        <v>1</v>
      </c>
      <c r="C18" s="1" t="s">
        <v>73</v>
      </c>
      <c r="D18" t="s">
        <v>60</v>
      </c>
      <c r="E18" s="1" t="s">
        <v>39</v>
      </c>
      <c r="F18" t="s">
        <v>56</v>
      </c>
      <c r="G18" s="1">
        <v>18</v>
      </c>
      <c r="H18" s="1" t="s">
        <v>689</v>
      </c>
    </row>
    <row r="19" spans="1:8">
      <c r="A19" s="1">
        <v>18</v>
      </c>
      <c r="B19" s="1">
        <v>1</v>
      </c>
      <c r="C19" s="1" t="s">
        <v>61</v>
      </c>
      <c r="D19" t="s">
        <v>62</v>
      </c>
      <c r="E19" s="1" t="s">
        <v>36</v>
      </c>
      <c r="F19" t="s">
        <v>63</v>
      </c>
      <c r="G19" s="1">
        <v>29</v>
      </c>
      <c r="H19" s="1" t="s">
        <v>690</v>
      </c>
    </row>
    <row r="20" spans="1:8">
      <c r="A20" s="1">
        <v>19</v>
      </c>
      <c r="B20" s="1">
        <v>1</v>
      </c>
      <c r="C20" s="1" t="s">
        <v>64</v>
      </c>
      <c r="D20" t="s">
        <v>65</v>
      </c>
      <c r="E20" s="1" t="s">
        <v>27</v>
      </c>
      <c r="F20" t="s">
        <v>66</v>
      </c>
      <c r="G20" s="1">
        <v>20</v>
      </c>
      <c r="H20" s="1"/>
    </row>
    <row r="21" spans="1:8">
      <c r="A21" s="1">
        <v>20</v>
      </c>
      <c r="B21" s="1">
        <v>1</v>
      </c>
      <c r="C21" s="1" t="s">
        <v>119</v>
      </c>
      <c r="D21" t="s">
        <v>67</v>
      </c>
      <c r="E21" s="1" t="s">
        <v>13</v>
      </c>
      <c r="F21" t="s">
        <v>28</v>
      </c>
      <c r="G21" s="1">
        <v>23</v>
      </c>
      <c r="H21" s="1" t="s">
        <v>689</v>
      </c>
    </row>
    <row r="22" spans="1:8">
      <c r="A22" s="1">
        <v>21</v>
      </c>
      <c r="B22" s="1">
        <v>1</v>
      </c>
      <c r="C22" s="1" t="s">
        <v>68</v>
      </c>
      <c r="D22" t="s">
        <v>69</v>
      </c>
      <c r="E22" s="1" t="s">
        <v>9</v>
      </c>
      <c r="F22" t="s">
        <v>70</v>
      </c>
      <c r="G22" s="1">
        <v>24</v>
      </c>
      <c r="H22" s="1"/>
    </row>
    <row r="23" spans="1:8">
      <c r="A23" s="1">
        <v>22</v>
      </c>
      <c r="B23" s="1">
        <v>1</v>
      </c>
      <c r="C23" s="1" t="s">
        <v>71</v>
      </c>
      <c r="D23" t="s">
        <v>72</v>
      </c>
      <c r="E23" s="1" t="s">
        <v>27</v>
      </c>
      <c r="F23" t="s">
        <v>70</v>
      </c>
      <c r="G23" s="1">
        <v>17</v>
      </c>
      <c r="H23" s="1" t="s">
        <v>691</v>
      </c>
    </row>
    <row r="24" spans="1:8">
      <c r="A24" s="1">
        <v>23</v>
      </c>
      <c r="B24" s="1">
        <v>1</v>
      </c>
      <c r="C24" s="1" t="s">
        <v>59</v>
      </c>
      <c r="D24" t="s">
        <v>74</v>
      </c>
      <c r="E24" s="1" t="s">
        <v>39</v>
      </c>
      <c r="F24" t="s">
        <v>75</v>
      </c>
      <c r="G24" s="1">
        <v>33</v>
      </c>
      <c r="H24" s="1" t="s">
        <v>692</v>
      </c>
    </row>
    <row r="25" spans="1:8">
      <c r="A25" s="1">
        <v>24</v>
      </c>
      <c r="B25" s="1">
        <v>1</v>
      </c>
      <c r="C25" s="1" t="s">
        <v>25</v>
      </c>
      <c r="D25" t="s">
        <v>76</v>
      </c>
      <c r="E25" s="1" t="s">
        <v>31</v>
      </c>
      <c r="F25" t="s">
        <v>77</v>
      </c>
      <c r="G25" s="1">
        <v>44</v>
      </c>
      <c r="H25" s="1" t="s">
        <v>690</v>
      </c>
    </row>
    <row r="26" spans="1:8">
      <c r="A26" s="1">
        <v>25</v>
      </c>
      <c r="B26" s="1">
        <v>1</v>
      </c>
      <c r="C26" s="1" t="s">
        <v>11</v>
      </c>
      <c r="D26" t="s">
        <v>79</v>
      </c>
      <c r="E26" s="1" t="s">
        <v>13</v>
      </c>
      <c r="F26" t="s">
        <v>80</v>
      </c>
      <c r="G26" s="1">
        <v>26</v>
      </c>
      <c r="H26" s="1" t="s">
        <v>689</v>
      </c>
    </row>
    <row r="27" spans="1:8">
      <c r="A27" s="1">
        <v>26</v>
      </c>
      <c r="B27" s="1">
        <v>1</v>
      </c>
      <c r="C27" s="1" t="s">
        <v>81</v>
      </c>
      <c r="D27" t="s">
        <v>82</v>
      </c>
      <c r="E27" s="1" t="s">
        <v>27</v>
      </c>
      <c r="F27" t="s">
        <v>45</v>
      </c>
      <c r="G27" s="1">
        <v>25</v>
      </c>
      <c r="H27" s="1"/>
    </row>
    <row r="28" spans="1:8">
      <c r="A28" s="1">
        <v>27</v>
      </c>
      <c r="B28" s="1">
        <v>1</v>
      </c>
      <c r="C28" s="1" t="s">
        <v>83</v>
      </c>
      <c r="D28" t="s">
        <v>84</v>
      </c>
      <c r="E28" s="1" t="s">
        <v>27</v>
      </c>
      <c r="F28" t="s">
        <v>42</v>
      </c>
      <c r="G28" s="1">
        <v>19</v>
      </c>
      <c r="H28" s="1" t="s">
        <v>691</v>
      </c>
    </row>
    <row r="29" spans="1:8">
      <c r="A29" s="1">
        <v>28</v>
      </c>
      <c r="B29" s="1">
        <v>1</v>
      </c>
      <c r="C29" s="1" t="s">
        <v>85</v>
      </c>
      <c r="D29" t="s">
        <v>86</v>
      </c>
      <c r="E29" s="1" t="s">
        <v>36</v>
      </c>
      <c r="F29" t="s">
        <v>63</v>
      </c>
      <c r="G29" s="1">
        <v>43</v>
      </c>
      <c r="H29" s="1" t="s">
        <v>690</v>
      </c>
    </row>
    <row r="30" spans="1:8">
      <c r="A30" s="1">
        <v>29</v>
      </c>
      <c r="B30" s="1">
        <v>1</v>
      </c>
      <c r="C30" s="1" t="s">
        <v>15</v>
      </c>
      <c r="D30" t="s">
        <v>87</v>
      </c>
      <c r="E30" s="1" t="s">
        <v>31</v>
      </c>
      <c r="F30" t="s">
        <v>88</v>
      </c>
      <c r="G30" s="1">
        <v>21</v>
      </c>
      <c r="H30" s="1" t="s">
        <v>693</v>
      </c>
    </row>
    <row r="31" spans="1:8">
      <c r="A31" s="1">
        <v>30</v>
      </c>
      <c r="B31" s="1">
        <v>1</v>
      </c>
      <c r="C31" s="1" t="s">
        <v>40</v>
      </c>
      <c r="D31" t="s">
        <v>89</v>
      </c>
      <c r="E31" s="1" t="s">
        <v>36</v>
      </c>
      <c r="F31" t="s">
        <v>90</v>
      </c>
      <c r="G31" s="1">
        <v>31</v>
      </c>
      <c r="H31" s="1"/>
    </row>
    <row r="32" spans="1:8">
      <c r="A32" s="1">
        <v>31</v>
      </c>
      <c r="B32" s="1">
        <v>1</v>
      </c>
      <c r="C32" s="1" t="s">
        <v>128</v>
      </c>
      <c r="D32" t="s">
        <v>92</v>
      </c>
      <c r="E32" s="1" t="s">
        <v>17</v>
      </c>
      <c r="F32" t="s">
        <v>58</v>
      </c>
      <c r="G32" s="1">
        <v>28</v>
      </c>
      <c r="H32" s="1" t="s">
        <v>689</v>
      </c>
    </row>
    <row r="33" spans="1:8">
      <c r="A33" s="1">
        <v>32</v>
      </c>
      <c r="B33" s="1">
        <v>1</v>
      </c>
      <c r="C33" s="1" t="s">
        <v>107</v>
      </c>
      <c r="D33" t="s">
        <v>94</v>
      </c>
      <c r="E33" s="1" t="s">
        <v>21</v>
      </c>
      <c r="F33" t="s">
        <v>22</v>
      </c>
      <c r="G33" s="1">
        <v>27</v>
      </c>
      <c r="H33" s="1" t="s">
        <v>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Colin's Mock</vt:lpstr>
      <vt:lpstr>Actual nfl first round</vt:lpstr>
      <vt:lpstr>Other analyst </vt:lpstr>
      <vt:lpstr>Accuracy Analysis</vt:lpstr>
      <vt:lpstr>Colin Mock wTrade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Sica</dc:creator>
  <cp:lastModifiedBy>Colin Sica</cp:lastModifiedBy>
  <dcterms:created xsi:type="dcterms:W3CDTF">2026-04-24T00:55:44Z</dcterms:created>
  <dcterms:modified xsi:type="dcterms:W3CDTF">2026-04-24T04:33:56Z</dcterms:modified>
</cp:coreProperties>
</file>